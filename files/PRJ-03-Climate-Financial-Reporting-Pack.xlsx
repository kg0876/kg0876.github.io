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ter" sheetId="1" state="visible" r:id="rId3"/>
    <sheet name="Sector Emission Factors" sheetId="2" state="visible" r:id="rId4"/>
    <sheet name="Loan Book — As Reported" sheetId="3" state="visible" r:id="rId5"/>
    <sheet name="Loan Book — Reconciled" sheetId="4" state="visible" r:id="rId6"/>
    <sheet name="Emissions Reconciliation" sheetId="5" state="visible" r:id="rId7"/>
    <sheet name="Data Quality Log" sheetId="6" state="visible" r:id="rId8"/>
    <sheet name="TCFD Four-Pillar Disclosure" sheetId="7" state="visible" r:id="rId9"/>
    <sheet name="TCFD Disclosure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<sst xmlns="http://schemas.openxmlformats.org/spreadsheetml/2006/main" count="238" uniqueCount="143">
  <si>
    <t xml:space="preserve">PRJ-03 · Climate Financial Reporting — Financed Emissions Reconciliation</t>
  </si>
  <si>
    <t xml:space="preserve">Lakeshore Trust Bank (fictional) · Illustrative sample data, built for portfolio demonstration purposes.</t>
  </si>
  <si>
    <t xml:space="preserve">Client</t>
  </si>
  <si>
    <t xml:space="preserve">Lakeshore Trust Bank (fictional) — commercial lending portfolio feeding the bank's annual TCFD climate disclosure</t>
  </si>
  <si>
    <t xml:space="preserve">Driver</t>
  </si>
  <si>
    <t xml:space="preserve">Draft climate report showed financed emissions down 8% YoY, but the underlying loan book grew 12% over the same period — the two numbers didn't reconcile, and Investor Relations was set to publish the 8% figure</t>
  </si>
  <si>
    <t xml:space="preserve">Objective</t>
  </si>
  <si>
    <t xml:space="preserve">Reconcile loan-level financial data against the PCAF financed-emissions calculation before the figure went to the Board and external TCFD disclosure</t>
  </si>
  <si>
    <t xml:space="preserve">Portfolio</t>
  </si>
  <si>
    <t xml:space="preserve">12 commercial loans across 4 asset classes · $84.2M reconciled outstanding balance</t>
  </si>
  <si>
    <t xml:space="preserve">My role</t>
  </si>
  <si>
    <t xml:space="preserve">Reporting Analyst — financial data reconciliation, PCAF financed-emissions calculation, data quality remediation, TCFD disclosure support</t>
  </si>
  <si>
    <t xml:space="preserve">Workbook Map</t>
  </si>
  <si>
    <t xml:space="preserve">Sector Emission Factors</t>
  </si>
  <si>
    <t xml:space="preserve">As-reported vs. corrected sector intensity factors (tCO2e / $M outstanding)</t>
  </si>
  <si>
    <t xml:space="preserve">Loan Book — As Reported</t>
  </si>
  <si>
    <t xml:space="preserve">The 10-loan dataset originally used to calculate the draft 8% figure</t>
  </si>
  <si>
    <t xml:space="preserve">Loan Book — Reconciled</t>
  </si>
  <si>
    <t xml:space="preserve">The corrected 12-loan dataset after data quality review</t>
  </si>
  <si>
    <t xml:space="preserve">Emissions Reconciliation</t>
  </si>
  <si>
    <t xml:space="preserve">Loan-by-loan comparison: as-reported vs. reconciled financed emissions</t>
  </si>
  <si>
    <t xml:space="preserve">Data Quality Log</t>
  </si>
  <si>
    <t xml:space="preserve">The 4 defects found, and their $ / tCO2e impact</t>
  </si>
  <si>
    <t xml:space="preserve">TCFD Disclosure Summary</t>
  </si>
  <si>
    <t xml:space="preserve">Final headline numbers ready for Board and external disclosure</t>
  </si>
  <si>
    <t xml:space="preserve">Sector Emission Factors (tCO2e / $M outstanding)</t>
  </si>
  <si>
    <t xml:space="preserve">Illustrative sample intensity factors. As-Reported column reflects the factor table in use before the data quality review.</t>
  </si>
  <si>
    <t xml:space="preserve">Sector</t>
  </si>
  <si>
    <t xml:space="preserve">As-Reported Factor</t>
  </si>
  <si>
    <t xml:space="preserve">Reconciled Factor</t>
  </si>
  <si>
    <t xml:space="preserve">Note</t>
  </si>
  <si>
    <t xml:space="preserve">Manufacturing</t>
  </si>
  <si>
    <t xml:space="preserve">Factor was not updated to the current-year published intensity figure — flagged in Data Quality Log.</t>
  </si>
  <si>
    <t xml:space="preserve">Retail</t>
  </si>
  <si>
    <t xml:space="preserve">Real Estate</t>
  </si>
  <si>
    <t xml:space="preserve">Transportation</t>
  </si>
  <si>
    <t xml:space="preserve">Energy (Renewable)</t>
  </si>
  <si>
    <t xml:space="preserve">Energy (Oil &amp; Gas)</t>
  </si>
  <si>
    <t xml:space="preserve">Agriculture</t>
  </si>
  <si>
    <t xml:space="preserve">Loan Book — As Reported (original dataset)</t>
  </si>
  <si>
    <t xml:space="preserve">The dataset originally used for the draft climate report. Contains 2 known data defects (see Data Quality Log).</t>
  </si>
  <si>
    <t xml:space="preserve">Loan ID</t>
  </si>
  <si>
    <t xml:space="preserve">Asset Class</t>
  </si>
  <si>
    <t xml:space="preserve">Outstanding ($M)</t>
  </si>
  <si>
    <t xml:space="preserve">Borrower Value ($M)</t>
  </si>
  <si>
    <t xml:space="preserve">Flag</t>
  </si>
  <si>
    <t xml:space="preserve">L-001</t>
  </si>
  <si>
    <t xml:space="preserve">Business Loans</t>
  </si>
  <si>
    <t xml:space="preserve">L-002</t>
  </si>
  <si>
    <t xml:space="preserve">L-003</t>
  </si>
  <si>
    <t xml:space="preserve">Commercial Real Estate</t>
  </si>
  <si>
    <t xml:space="preserve">L-004</t>
  </si>
  <si>
    <t xml:space="preserve">Stale balance</t>
  </si>
  <si>
    <t xml:space="preserve">L-005</t>
  </si>
  <si>
    <t xml:space="preserve">Project Finance</t>
  </si>
  <si>
    <t xml:space="preserve">L-006</t>
  </si>
  <si>
    <t xml:space="preserve">Mortgages</t>
  </si>
  <si>
    <t xml:space="preserve">L-007</t>
  </si>
  <si>
    <t xml:space="preserve">Miscategorized</t>
  </si>
  <si>
    <t xml:space="preserve">L-008</t>
  </si>
  <si>
    <t xml:space="preserve">L-009</t>
  </si>
  <si>
    <t xml:space="preserve">L-010</t>
  </si>
  <si>
    <t xml:space="preserve">Total</t>
  </si>
  <si>
    <t xml:space="preserve">Loan Book — Reconciled (corrected dataset)</t>
  </si>
  <si>
    <t xml:space="preserve">Corrected for all 4 data quality defects: stale balance fixed, miscategorization corrected, 2 missing loans recovered.</t>
  </si>
  <si>
    <t xml:space="preserve">Correction</t>
  </si>
  <si>
    <t xml:space="preserve">Balance corrected 6.8 → 5.1 (paydown)</t>
  </si>
  <si>
    <t xml:space="preserve">Recategorized from Commercial Real Estate</t>
  </si>
  <si>
    <t xml:space="preserve">L-011</t>
  </si>
  <si>
    <t xml:space="preserve">Recovered — missing from original export</t>
  </si>
  <si>
    <t xml:space="preserve">L-012</t>
  </si>
  <si>
    <t xml:space="preserve">Financed Emissions Reconciliation — Loan by Loan</t>
  </si>
  <si>
    <t xml:space="preserve">As-reported vs. reconciled financed emissions per loan (tCO2e). All 12 reconciled loans shown; loans missing from the original export show $0 / 0 tCO2e as-reported.</t>
  </si>
  <si>
    <t xml:space="preserve">Sector (Reconciled)</t>
  </si>
  <si>
    <t xml:space="preserve">Outstanding
As-Reported ($M)</t>
  </si>
  <si>
    <t xml:space="preserve">Outstanding
Reconciled ($M)</t>
  </si>
  <si>
    <t xml:space="preserve">Emission Factor
As-Reported</t>
  </si>
  <si>
    <t xml:space="preserve">Financed Emissions
As-Reported (tCO2e)</t>
  </si>
  <si>
    <t xml:space="preserve">Emission Factor
Reconciled</t>
  </si>
  <si>
    <t xml:space="preserve">Financed Emissions
Reconciled (tCO2e)</t>
  </si>
  <si>
    <t xml:space="preserve">Variance
(tCO2e)</t>
  </si>
  <si>
    <t xml:space="preserve">4 defects found during reconciliation, and the quantified financed-emissions impact of each.</t>
  </si>
  <si>
    <t xml:space="preserve">#</t>
  </si>
  <si>
    <t xml:space="preserve">Defect</t>
  </si>
  <si>
    <t xml:space="preserve">Description</t>
  </si>
  <si>
    <t xml:space="preserve">Impact (tCO2e)</t>
  </si>
  <si>
    <t xml:space="preserve">D1</t>
  </si>
  <si>
    <t xml:space="preserve">Stale loan balance (L-004)</t>
  </si>
  <si>
    <t xml:space="preserve">Outstanding balance used a pre-paydown figure ($6.8M) instead of the current balance ($5.1M) — overstated that loan's financed emissions.</t>
  </si>
  <si>
    <t xml:space="preserve">D2</t>
  </si>
  <si>
    <t xml:space="preserve">Miscategorized loan (L-007)</t>
  </si>
  <si>
    <t xml:space="preserve">Coded as Commercial Real Estate, but collateral and loan purpose confirm it is a Manufacturing-sector business loan — the wrong (lower) emission factor was applied.</t>
  </si>
  <si>
    <t xml:space="preserve">D3</t>
  </si>
  <si>
    <t xml:space="preserve">2 loans missing from export (L-011, L-012)</t>
  </si>
  <si>
    <t xml:space="preserve">Both loans were dropped from the original system export and excluded from the draft report entirely — their full financed emissions were unreported.</t>
  </si>
  <si>
    <t xml:space="preserve">D4</t>
  </si>
  <si>
    <t xml:space="preserve">Stale sector emission factor (Manufacturing)</t>
  </si>
  <si>
    <t xml:space="preserve">The Manufacturing intensity factor was not updated to the current-year published figure (130 vs. 145 tCO2e/$M) — understated every Manufacturing-sector loan, including L-001 which had no loan-level defect.</t>
  </si>
  <si>
    <t xml:space="preserve">Note: D4's impact figure isolates the factor effect on L-001 only (the one Manufacturing loan present, correctly categorized, in the original export). D2 and D3 carry additional Manufacturing-factor impact within their own totals.</t>
  </si>
  <si>
    <t xml:space="preserve">TCFD Four-Pillar Climate Disclosure</t>
  </si>
  <si>
    <t xml:space="preserve">Structured per the TCFD framework: Governance, Strategy, Risk Management, Metrics &amp; Targets. Illustrative sample content.</t>
  </si>
  <si>
    <t xml:space="preserve">1. Governance</t>
  </si>
  <si>
    <t xml:space="preserve">Oversight</t>
  </si>
  <si>
    <t xml:space="preserve">The financed-emissions reconciliation described in this workbook was reviewed by the Climate Risk Committee prior to Board and external disclosure. The correction (from a claimed -8.0% to a reconciled +9.5% year-over-year change) was escalated to the Chief Risk Officer given its materiality to the published TCFD figure.</t>
  </si>
  <si>
    <t xml:space="preserve">2. Strategy</t>
  </si>
  <si>
    <t xml:space="preserve">Portfolio exposure</t>
  </si>
  <si>
    <t xml:space="preserve">Financed emissions are concentrated in a small number of carbon-intensive sectors, which is where transition risk (policy, carbon pricing, stranded-asset exposure) is most concentrated for the lending portfolio. The sector breakdown below informs which relationships carry the highest transition-risk exposure and where engagement or portfolio-mix strategy should focus.</t>
  </si>
  <si>
    <t xml:space="preserve">Reconciled Financed
Emissions (tCO2e)</t>
  </si>
  <si>
    <t xml:space="preserve">% of Total</t>
  </si>
  <si>
    <t xml:space="preserve">3. Risk Management</t>
  </si>
  <si>
    <t xml:space="preserve">Process gap &amp; fix</t>
  </si>
  <si>
    <t xml:space="preserve">The 4 defects in the Data Quality Log were caught through a manual loan-by-loan reconciliation ahead of publication — not by an existing control. Recommended process change: quarterly reconciliation between the lending system export and the financed-emissions calculation, with the Data Quality Log format used in this workbook as the standing template, so future corrections are caught before the draft stage rather than after.</t>
  </si>
  <si>
    <t xml:space="preserve">4. Metrics &amp; Targets</t>
  </si>
  <si>
    <t xml:space="preserve">Target trajectory</t>
  </si>
  <si>
    <t xml:space="preserve">Financed emissions (Scope 3, Category 15) are the dominant metric for this portfolio. The trajectory below shows the corrected FY2025 figure against the bank's FY2020 baseline and 2030 target — the reconciliation shows the portfolio is currently off-track against that target, information the as-reported (incorrect) figure would have masked.</t>
  </si>
  <si>
    <t xml:space="preserve">Year</t>
  </si>
  <si>
    <t xml:space="preserve">Financed Emissions (tCO2e)</t>
  </si>
  <si>
    <t xml:space="preserve">vs. 2030 Target Path</t>
  </si>
  <si>
    <t xml:space="preserve">2020 (Baseline)</t>
  </si>
  <si>
    <t xml:space="preserve">2024 (Prior Year)</t>
  </si>
  <si>
    <t xml:space="preserve">2025 (Reconciled)</t>
  </si>
  <si>
    <t xml:space="preserve">2030 (Target)</t>
  </si>
  <si>
    <t xml:space="preserve">Required pace to target (2025 point on straight-line path)</t>
  </si>
  <si>
    <t xml:space="preserve">Positive % = actual is above the required pace — off-track. Negative % = ahead of target.</t>
  </si>
  <si>
    <t xml:space="preserve">TCFD Disclosure Summary — Financed Emissions</t>
  </si>
  <si>
    <t xml:space="preserve">Headline figures as they would appear in the Board pack and external TCFD disclosure.</t>
  </si>
  <si>
    <t xml:space="preserve">Metric</t>
  </si>
  <si>
    <t xml:space="preserve">Value</t>
  </si>
  <si>
    <t xml:space="preserve">Prior Year Financed Emissions (Baseline, tCO2e)</t>
  </si>
  <si>
    <t xml:space="preserve">Prior year's published disclosure figure — hardcoded input</t>
  </si>
  <si>
    <t xml:space="preserve">As-Reported (Draft) Total Financed Emissions (tCO2e)</t>
  </si>
  <si>
    <t xml:space="preserve">The figure originally headed to the Board before reconciliation</t>
  </si>
  <si>
    <t xml:space="preserve">As-Reported YoY Change</t>
  </si>
  <si>
    <t xml:space="preserve">The claimed “8% decrease” that did not reconcile against loan book growth</t>
  </si>
  <si>
    <t xml:space="preserve">Reconciled (Final) Total Financed Emissions (tCO2e)</t>
  </si>
  <si>
    <t xml:space="preserve">Corrected figure after data quality remediation</t>
  </si>
  <si>
    <t xml:space="preserve">Reconciled YoY Change</t>
  </si>
  <si>
    <t xml:space="preserve">Actual direction of travel — published instead of the flawed draft figure</t>
  </si>
  <si>
    <t xml:space="preserve">Correction Impact (Reconciled − As-Reported, tCO2e)</t>
  </si>
  <si>
    <t xml:space="preserve">Total swing caught before external publication</t>
  </si>
  <si>
    <t xml:space="preserve">Correction Impact (%)</t>
  </si>
  <si>
    <t xml:space="preserve">Bottom line</t>
  </si>
  <si>
    <t xml:space="preserve">The draft report would have told the Board and investors that financed emissions fell 8% — the opposite of what the reconciled loan data shows. Publishing the as-reported figure would have been a materially incorrect climate disclosure.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</si>
</sst>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"/>
    <numFmt numFmtId="166" formatCode="0"/>
    <numFmt numFmtId="167" formatCode="#,##0"/>
    <numFmt numFmtId="168" formatCode="#,##0;\(#,##0\)"/>
    <numFmt numFmtId="169" formatCode="#,##0&quot; tCO2e&quot;;\(#,##0&quot;) tCO2e&quot;"/>
    <numFmt numFmtId="170" formatCode="0.0%"/>
    <numFmt numFmtId="171" formatCode="\+0.0%;\-0.0%"/>
    <numFmt numFmtId="172" formatCode="0.0%;\(0.0%\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Financed Emissions Trajectory vs. 2030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'TCFD Four-Pillar Disclosure'!B26</c:f>
              <c:strCache>
                <c:ptCount val="1"/>
                <c:pt idx="0">
                  <c:v>Financed Emissions (tCO2e)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'TCFD Four-Pillar Disclosure'!$A$27:$A$30</c:f>
              <c:strCache>
                <c:ptCount val="4"/>
                <c:pt idx="0">
                  <c:v>2020 (Baseline)</c:v>
                </c:pt>
                <c:pt idx="1">
                  <c:v>2024 (Prior Year)</c:v>
                </c:pt>
                <c:pt idx="2">
                  <c:v>2025 (Reconciled)</c:v>
                </c:pt>
                <c:pt idx="3">
                  <c:v>2030 (Target)</c:v>
                </c:pt>
              </c:strCache>
            </c:strRef>
          </c:cat>
          <c:val>
            <c:numRef>
              <c:f>'TCFD Four-Pillar Disclosure'!$B$27:$B$30</c:f>
              <c:numCache>
                <c:formatCode>#,##0</c:formatCode>
                <c:ptCount val="4"/>
                <c:pt idx="0">
                  <c:v>11000</c:v>
                </c:pt>
                <c:pt idx="1">
                  <c:v>9333</c:v>
                </c:pt>
                <c:pt idx="2">
                  <c:v>10215.7</c:v>
                </c:pt>
                <c:pt idx="3">
                  <c:v>8000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754165"/>
        <c:axId val="28932876"/>
      </c:lineChart>
      <c:catAx>
        <c:axId val="77754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32876"/>
        <c:crosses val="autoZero"/>
        <c:auto val="1"/>
        <c:lblAlgn val="ctr"/>
        <c:lblOffset val="100"/>
        <c:noMultiLvlLbl val="0"/>
      </c:catAx>
      <c:valAx>
        <c:axId val="28932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54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33120</xdr:rowOff>
    </xdr:from>
    <xdr:to>
      <xdr:col>1</xdr:col>
      <xdr:colOff>3926880</xdr:colOff>
      <xdr:row>47</xdr:row>
      <xdr:rowOff>55080</xdr:rowOff>
    </xdr:to>
    <xdr:graphicFrame>
      <xdr:nvGraphicFramePr>
        <xdr:cNvPr id="0" name="Chart 1"/>
        <xdr:cNvGraphicFramePr/>
      </xdr:nvGraphicFramePr>
      <xdr:xfrm>
        <a:off x="0" y="87249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33.75" hidden="false" customHeight="true" outlineLevel="0" collapsed="false">
      <c r="A5" s="3" t="s">
        <v>4</v>
      </c>
      <c r="B5" s="4" t="s">
        <v>5</v>
      </c>
    </row>
    <row r="6" customFormat="false" ht="33.75" hidden="false" customHeight="true" outlineLevel="0" collapsed="false">
      <c r="A6" s="3" t="s">
        <v>6</v>
      </c>
      <c r="B6" s="4" t="s">
        <v>7</v>
      </c>
    </row>
    <row r="7" customFormat="false" ht="33.75" hidden="false" customHeight="true" outlineLevel="0" collapsed="false">
      <c r="A7" s="3" t="s">
        <v>8</v>
      </c>
      <c r="B7" s="4" t="s">
        <v>9</v>
      </c>
    </row>
    <row r="8" customFormat="false" ht="33.75" hidden="false" customHeight="tru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5" t="s">
        <v>12</v>
      </c>
    </row>
    <row r="11" customFormat="false" ht="15" hidden="false" customHeight="false" outlineLevel="0" collapsed="false">
      <c r="A11" s="6" t="s">
        <v>13</v>
      </c>
      <c r="B11" s="7" t="s">
        <v>14</v>
      </c>
    </row>
    <row r="12" customFormat="false" ht="15" hidden="false" customHeight="false" outlineLevel="0" collapsed="false">
      <c r="A12" s="6" t="s">
        <v>15</v>
      </c>
      <c r="B12" s="7" t="s">
        <v>16</v>
      </c>
    </row>
    <row r="13" customFormat="false" ht="15" hidden="false" customHeight="false" outlineLevel="0" collapsed="false">
      <c r="A13" s="6" t="s">
        <v>17</v>
      </c>
      <c r="B13" s="7" t="s">
        <v>18</v>
      </c>
    </row>
    <row r="14" customFormat="false" ht="15" hidden="false" customHeight="false" outlineLevel="0" collapsed="false">
      <c r="A14" s="6" t="s">
        <v>19</v>
      </c>
      <c r="B14" s="7" t="s">
        <v>20</v>
      </c>
    </row>
    <row r="15" customFormat="false" ht="15" hidden="false" customHeight="false" outlineLevel="0" collapsed="false">
      <c r="A15" s="6" t="s">
        <v>21</v>
      </c>
      <c r="B15" s="7" t="s">
        <v>22</v>
      </c>
    </row>
    <row r="16" customFormat="false" ht="15" hidden="false" customHeight="false" outlineLevel="0" collapsed="false">
      <c r="A16" s="6" t="s">
        <v>23</v>
      </c>
      <c r="B16" s="7" t="s">
        <v>24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</row>
    <row r="2" customFormat="false" ht="15" hidden="false" customHeight="false" outlineLevel="0" collapsed="false">
      <c r="A2" s="2" t="s">
        <v>26</v>
      </c>
      <c r="B2" s="2"/>
      <c r="C2" s="2"/>
      <c r="D2" s="2"/>
    </row>
    <row r="4" customFormat="false" ht="15" hidden="false" customHeight="false" outlineLevel="0" collapsed="false">
      <c r="A4" s="8" t="s">
        <v>27</v>
      </c>
      <c r="B4" s="8" t="s">
        <v>28</v>
      </c>
      <c r="C4" s="8" t="s">
        <v>29</v>
      </c>
      <c r="D4" s="8" t="s">
        <v>30</v>
      </c>
    </row>
    <row r="5" customFormat="false" ht="35.05" hidden="false" customHeight="false" outlineLevel="0" collapsed="false">
      <c r="A5" s="9" t="s">
        <v>31</v>
      </c>
      <c r="B5" s="9" t="n">
        <v>130</v>
      </c>
      <c r="C5" s="9" t="n">
        <v>145</v>
      </c>
      <c r="D5" s="10" t="s">
        <v>32</v>
      </c>
    </row>
    <row r="6" customFormat="false" ht="15" hidden="false" customHeight="false" outlineLevel="0" collapsed="false">
      <c r="A6" s="11" t="s">
        <v>33</v>
      </c>
      <c r="B6" s="11" t="n">
        <v>38</v>
      </c>
      <c r="C6" s="11" t="n">
        <v>38</v>
      </c>
      <c r="D6" s="12"/>
    </row>
    <row r="7" customFormat="false" ht="15" hidden="false" customHeight="false" outlineLevel="0" collapsed="false">
      <c r="A7" s="13" t="s">
        <v>34</v>
      </c>
      <c r="B7" s="13" t="n">
        <v>52</v>
      </c>
      <c r="C7" s="13" t="n">
        <v>52</v>
      </c>
      <c r="D7" s="14"/>
    </row>
    <row r="8" customFormat="false" ht="15" hidden="false" customHeight="false" outlineLevel="0" collapsed="false">
      <c r="A8" s="11" t="s">
        <v>35</v>
      </c>
      <c r="B8" s="11" t="n">
        <v>168</v>
      </c>
      <c r="C8" s="11" t="n">
        <v>168</v>
      </c>
      <c r="D8" s="12"/>
    </row>
    <row r="9" customFormat="false" ht="15" hidden="false" customHeight="false" outlineLevel="0" collapsed="false">
      <c r="A9" s="13" t="s">
        <v>36</v>
      </c>
      <c r="B9" s="13" t="n">
        <v>12</v>
      </c>
      <c r="C9" s="13" t="n">
        <v>12</v>
      </c>
      <c r="D9" s="14"/>
    </row>
    <row r="10" customFormat="false" ht="15" hidden="false" customHeight="false" outlineLevel="0" collapsed="false">
      <c r="A10" s="11" t="s">
        <v>37</v>
      </c>
      <c r="B10" s="11" t="n">
        <v>410</v>
      </c>
      <c r="C10" s="11" t="n">
        <v>410</v>
      </c>
      <c r="D10" s="12"/>
    </row>
    <row r="11" customFormat="false" ht="15" hidden="false" customHeight="false" outlineLevel="0" collapsed="false">
      <c r="A11" s="13" t="s">
        <v>38</v>
      </c>
      <c r="B11" s="13" t="n">
        <v>95</v>
      </c>
      <c r="C11" s="13" t="n">
        <v>95</v>
      </c>
      <c r="D11" s="1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8" t="s">
        <v>41</v>
      </c>
      <c r="B4" s="8" t="s">
        <v>42</v>
      </c>
      <c r="C4" s="8" t="s">
        <v>27</v>
      </c>
      <c r="D4" s="8" t="s">
        <v>43</v>
      </c>
      <c r="E4" s="8" t="s">
        <v>44</v>
      </c>
      <c r="F4" s="8" t="s">
        <v>45</v>
      </c>
    </row>
    <row r="5" customFormat="false" ht="15" hidden="false" customHeight="false" outlineLevel="0" collapsed="false">
      <c r="A5" s="13" t="s">
        <v>46</v>
      </c>
      <c r="B5" s="13" t="s">
        <v>47</v>
      </c>
      <c r="C5" s="13" t="s">
        <v>31</v>
      </c>
      <c r="D5" s="15" t="n">
        <v>8.2</v>
      </c>
      <c r="E5" s="15" t="n">
        <v>22</v>
      </c>
      <c r="F5" s="13"/>
    </row>
    <row r="6" customFormat="false" ht="15" hidden="false" customHeight="false" outlineLevel="0" collapsed="false">
      <c r="A6" s="11" t="s">
        <v>48</v>
      </c>
      <c r="B6" s="11" t="s">
        <v>47</v>
      </c>
      <c r="C6" s="11" t="s">
        <v>33</v>
      </c>
      <c r="D6" s="16" t="n">
        <v>4.5</v>
      </c>
      <c r="E6" s="16" t="n">
        <v>15</v>
      </c>
      <c r="F6" s="11"/>
    </row>
    <row r="7" customFormat="false" ht="15" hidden="false" customHeight="false" outlineLevel="0" collapsed="false">
      <c r="A7" s="13" t="s">
        <v>49</v>
      </c>
      <c r="B7" s="13" t="s">
        <v>50</v>
      </c>
      <c r="C7" s="13" t="s">
        <v>34</v>
      </c>
      <c r="D7" s="15" t="n">
        <v>12</v>
      </c>
      <c r="E7" s="15" t="n">
        <v>12</v>
      </c>
      <c r="F7" s="13"/>
    </row>
    <row r="8" customFormat="false" ht="15" hidden="false" customHeight="false" outlineLevel="0" collapsed="false">
      <c r="A8" s="9" t="s">
        <v>51</v>
      </c>
      <c r="B8" s="9" t="s">
        <v>47</v>
      </c>
      <c r="C8" s="9" t="s">
        <v>35</v>
      </c>
      <c r="D8" s="17" t="n">
        <v>6.8</v>
      </c>
      <c r="E8" s="17" t="n">
        <v>19.5</v>
      </c>
      <c r="F8" s="9" t="s">
        <v>52</v>
      </c>
    </row>
    <row r="9" customFormat="false" ht="15" hidden="false" customHeight="false" outlineLevel="0" collapsed="false">
      <c r="A9" s="13" t="s">
        <v>53</v>
      </c>
      <c r="B9" s="13" t="s">
        <v>54</v>
      </c>
      <c r="C9" s="13" t="s">
        <v>36</v>
      </c>
      <c r="D9" s="15" t="n">
        <v>15</v>
      </c>
      <c r="E9" s="15" t="n">
        <v>15</v>
      </c>
      <c r="F9" s="13"/>
    </row>
    <row r="10" customFormat="false" ht="15" hidden="false" customHeight="false" outlineLevel="0" collapsed="false">
      <c r="A10" s="11" t="s">
        <v>55</v>
      </c>
      <c r="B10" s="11" t="s">
        <v>56</v>
      </c>
      <c r="C10" s="11" t="s">
        <v>34</v>
      </c>
      <c r="D10" s="16" t="n">
        <v>3.2</v>
      </c>
      <c r="E10" s="16" t="n">
        <v>3.2</v>
      </c>
      <c r="F10" s="11"/>
    </row>
    <row r="11" customFormat="false" ht="15" hidden="false" customHeight="false" outlineLevel="0" collapsed="false">
      <c r="A11" s="9" t="s">
        <v>57</v>
      </c>
      <c r="B11" s="9" t="s">
        <v>50</v>
      </c>
      <c r="C11" s="9" t="s">
        <v>34</v>
      </c>
      <c r="D11" s="17" t="n">
        <v>9.4</v>
      </c>
      <c r="E11" s="17" t="n">
        <v>9.4</v>
      </c>
      <c r="F11" s="9" t="s">
        <v>58</v>
      </c>
    </row>
    <row r="12" customFormat="false" ht="15" hidden="false" customHeight="false" outlineLevel="0" collapsed="false">
      <c r="A12" s="11" t="s">
        <v>59</v>
      </c>
      <c r="B12" s="11" t="s">
        <v>47</v>
      </c>
      <c r="C12" s="11" t="s">
        <v>38</v>
      </c>
      <c r="D12" s="16" t="n">
        <v>5.5</v>
      </c>
      <c r="E12" s="16" t="n">
        <v>18</v>
      </c>
      <c r="F12" s="11"/>
    </row>
    <row r="13" customFormat="false" ht="15" hidden="false" customHeight="false" outlineLevel="0" collapsed="false">
      <c r="A13" s="13" t="s">
        <v>60</v>
      </c>
      <c r="B13" s="13" t="s">
        <v>47</v>
      </c>
      <c r="C13" s="13" t="s">
        <v>37</v>
      </c>
      <c r="D13" s="15" t="n">
        <v>10.1</v>
      </c>
      <c r="E13" s="15" t="n">
        <v>27</v>
      </c>
      <c r="F13" s="13"/>
    </row>
    <row r="14" customFormat="false" ht="15" hidden="false" customHeight="false" outlineLevel="0" collapsed="false">
      <c r="A14" s="11" t="s">
        <v>61</v>
      </c>
      <c r="B14" s="11" t="s">
        <v>54</v>
      </c>
      <c r="C14" s="11" t="s">
        <v>36</v>
      </c>
      <c r="D14" s="16" t="n">
        <v>7</v>
      </c>
      <c r="E14" s="16" t="n">
        <v>7</v>
      </c>
      <c r="F14" s="11"/>
    </row>
    <row r="15" customFormat="false" ht="15" hidden="false" customHeight="false" outlineLevel="0" collapsed="false">
      <c r="A15" s="13" t="s">
        <v>62</v>
      </c>
      <c r="B15" s="13"/>
      <c r="C15" s="13"/>
      <c r="D15" s="15" t="n">
        <f aca="false">SUM(D5:D14)</f>
        <v>81.7</v>
      </c>
      <c r="E15" s="13"/>
      <c r="F15" s="1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63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8" t="s">
        <v>41</v>
      </c>
      <c r="B4" s="8" t="s">
        <v>42</v>
      </c>
      <c r="C4" s="8" t="s">
        <v>27</v>
      </c>
      <c r="D4" s="8" t="s">
        <v>43</v>
      </c>
      <c r="E4" s="8" t="s">
        <v>44</v>
      </c>
      <c r="F4" s="8" t="s">
        <v>65</v>
      </c>
    </row>
    <row r="5" customFormat="false" ht="15" hidden="false" customHeight="false" outlineLevel="0" collapsed="false">
      <c r="A5" s="13" t="s">
        <v>46</v>
      </c>
      <c r="B5" s="13" t="s">
        <v>47</v>
      </c>
      <c r="C5" s="13" t="s">
        <v>31</v>
      </c>
      <c r="D5" s="15" t="n">
        <v>8.2</v>
      </c>
      <c r="E5" s="15" t="n">
        <v>22</v>
      </c>
      <c r="F5" s="14"/>
    </row>
    <row r="6" customFormat="false" ht="15" hidden="false" customHeight="false" outlineLevel="0" collapsed="false">
      <c r="A6" s="11" t="s">
        <v>48</v>
      </c>
      <c r="B6" s="11" t="s">
        <v>47</v>
      </c>
      <c r="C6" s="11" t="s">
        <v>33</v>
      </c>
      <c r="D6" s="16" t="n">
        <v>4.5</v>
      </c>
      <c r="E6" s="16" t="n">
        <v>15</v>
      </c>
      <c r="F6" s="12"/>
    </row>
    <row r="7" customFormat="false" ht="15" hidden="false" customHeight="false" outlineLevel="0" collapsed="false">
      <c r="A7" s="13" t="s">
        <v>49</v>
      </c>
      <c r="B7" s="13" t="s">
        <v>50</v>
      </c>
      <c r="C7" s="13" t="s">
        <v>34</v>
      </c>
      <c r="D7" s="15" t="n">
        <v>12</v>
      </c>
      <c r="E7" s="15" t="n">
        <v>12</v>
      </c>
      <c r="F7" s="14"/>
    </row>
    <row r="8" customFormat="false" ht="23.85" hidden="false" customHeight="false" outlineLevel="0" collapsed="false">
      <c r="A8" s="9" t="s">
        <v>51</v>
      </c>
      <c r="B8" s="9" t="s">
        <v>47</v>
      </c>
      <c r="C8" s="9" t="s">
        <v>35</v>
      </c>
      <c r="D8" s="17" t="n">
        <v>5.1</v>
      </c>
      <c r="E8" s="17" t="n">
        <v>19.5</v>
      </c>
      <c r="F8" s="10" t="s">
        <v>66</v>
      </c>
    </row>
    <row r="9" customFormat="false" ht="15" hidden="false" customHeight="false" outlineLevel="0" collapsed="false">
      <c r="A9" s="13" t="s">
        <v>53</v>
      </c>
      <c r="B9" s="13" t="s">
        <v>54</v>
      </c>
      <c r="C9" s="13" t="s">
        <v>36</v>
      </c>
      <c r="D9" s="15" t="n">
        <v>15</v>
      </c>
      <c r="E9" s="15" t="n">
        <v>15</v>
      </c>
      <c r="F9" s="14"/>
    </row>
    <row r="10" customFormat="false" ht="15" hidden="false" customHeight="false" outlineLevel="0" collapsed="false">
      <c r="A10" s="11" t="s">
        <v>55</v>
      </c>
      <c r="B10" s="11" t="s">
        <v>56</v>
      </c>
      <c r="C10" s="11" t="s">
        <v>34</v>
      </c>
      <c r="D10" s="16" t="n">
        <v>3.2</v>
      </c>
      <c r="E10" s="16" t="n">
        <v>3.2</v>
      </c>
      <c r="F10" s="12"/>
    </row>
    <row r="11" customFormat="false" ht="35.05" hidden="false" customHeight="false" outlineLevel="0" collapsed="false">
      <c r="A11" s="9" t="s">
        <v>57</v>
      </c>
      <c r="B11" s="9" t="s">
        <v>47</v>
      </c>
      <c r="C11" s="9" t="s">
        <v>31</v>
      </c>
      <c r="D11" s="17" t="n">
        <v>9.4</v>
      </c>
      <c r="E11" s="17" t="n">
        <v>9.4</v>
      </c>
      <c r="F11" s="10" t="s">
        <v>67</v>
      </c>
    </row>
    <row r="12" customFormat="false" ht="15" hidden="false" customHeight="false" outlineLevel="0" collapsed="false">
      <c r="A12" s="11" t="s">
        <v>59</v>
      </c>
      <c r="B12" s="11" t="s">
        <v>47</v>
      </c>
      <c r="C12" s="11" t="s">
        <v>38</v>
      </c>
      <c r="D12" s="16" t="n">
        <v>5.5</v>
      </c>
      <c r="E12" s="16" t="n">
        <v>18</v>
      </c>
      <c r="F12" s="12"/>
    </row>
    <row r="13" customFormat="false" ht="15" hidden="false" customHeight="false" outlineLevel="0" collapsed="false">
      <c r="A13" s="13" t="s">
        <v>60</v>
      </c>
      <c r="B13" s="13" t="s">
        <v>47</v>
      </c>
      <c r="C13" s="13" t="s">
        <v>37</v>
      </c>
      <c r="D13" s="15" t="n">
        <v>10.1</v>
      </c>
      <c r="E13" s="15" t="n">
        <v>27</v>
      </c>
      <c r="F13" s="14"/>
    </row>
    <row r="14" customFormat="false" ht="15" hidden="false" customHeight="false" outlineLevel="0" collapsed="false">
      <c r="A14" s="11" t="s">
        <v>61</v>
      </c>
      <c r="B14" s="11" t="s">
        <v>54</v>
      </c>
      <c r="C14" s="11" t="s">
        <v>36</v>
      </c>
      <c r="D14" s="16" t="n">
        <v>7</v>
      </c>
      <c r="E14" s="16" t="n">
        <v>7</v>
      </c>
      <c r="F14" s="12"/>
    </row>
    <row r="15" customFormat="false" ht="23.85" hidden="false" customHeight="false" outlineLevel="0" collapsed="false">
      <c r="A15" s="9" t="s">
        <v>68</v>
      </c>
      <c r="B15" s="9" t="s">
        <v>47</v>
      </c>
      <c r="C15" s="9" t="s">
        <v>31</v>
      </c>
      <c r="D15" s="17" t="n">
        <v>4</v>
      </c>
      <c r="E15" s="17" t="n">
        <v>11</v>
      </c>
      <c r="F15" s="10" t="s">
        <v>69</v>
      </c>
    </row>
    <row r="16" customFormat="false" ht="23.85" hidden="false" customHeight="false" outlineLevel="0" collapsed="false">
      <c r="A16" s="9" t="s">
        <v>70</v>
      </c>
      <c r="B16" s="9" t="s">
        <v>50</v>
      </c>
      <c r="C16" s="9" t="s">
        <v>34</v>
      </c>
      <c r="D16" s="17" t="n">
        <v>6.5</v>
      </c>
      <c r="E16" s="17" t="n">
        <v>6.5</v>
      </c>
      <c r="F16" s="10" t="s">
        <v>69</v>
      </c>
    </row>
    <row r="17" customFormat="false" ht="15" hidden="false" customHeight="false" outlineLevel="0" collapsed="false">
      <c r="A17" s="13" t="s">
        <v>62</v>
      </c>
      <c r="B17" s="13"/>
      <c r="C17" s="13"/>
      <c r="D17" s="15" t="n">
        <f aca="false">SUM(D5:D16)</f>
        <v>90.5</v>
      </c>
      <c r="E17" s="13"/>
      <c r="F17" s="1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8" min="3" style="0" width="1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</row>
    <row r="4" customFormat="false" ht="46.25" hidden="false" customHeight="false" outlineLevel="0" collapsed="false">
      <c r="A4" s="8" t="s">
        <v>41</v>
      </c>
      <c r="B4" s="8" t="s">
        <v>73</v>
      </c>
      <c r="C4" s="8" t="s">
        <v>74</v>
      </c>
      <c r="D4" s="8" t="s">
        <v>75</v>
      </c>
      <c r="E4" s="8" t="s">
        <v>76</v>
      </c>
      <c r="F4" s="8" t="s">
        <v>77</v>
      </c>
      <c r="G4" s="8" t="s">
        <v>78</v>
      </c>
      <c r="H4" s="8" t="s">
        <v>79</v>
      </c>
      <c r="I4" s="8" t="s">
        <v>80</v>
      </c>
    </row>
    <row r="5" customFormat="false" ht="15" hidden="false" customHeight="false" outlineLevel="0" collapsed="false">
      <c r="A5" s="13" t="s">
        <v>46</v>
      </c>
      <c r="B5" s="13" t="s">
        <v>31</v>
      </c>
      <c r="C5" s="15" t="n">
        <f aca="false">IFERROR(INDEX('Loan Book — As Reported'!$D$5:$D$14,MATCH(A5,'Loan Book — As Reported'!$A$5:$A$14,0)),0)</f>
        <v>8.2</v>
      </c>
      <c r="D5" s="15" t="n">
        <f aca="false">INDEX('Loan Book — Reconciled'!$D$5:$D$16,MATCH(A5,'Loan Book — Reconciled'!$A$5:$A$16,0))</f>
        <v>8.2</v>
      </c>
      <c r="E5" s="18" t="n">
        <f aca="false">IFERROR(INDEX('Sector Emission Factors'!$B$5:$B$11,MATCH(IFERROR(INDEX('Loan Book — As Reported'!$C$5:$C$14,MATCH(A5,'Loan Book — As Reported'!$A$5:$A$14,0)),""),'Sector Emission Factors'!$A$5:$A$11,0)),0)</f>
        <v>130</v>
      </c>
      <c r="F5" s="19" t="n">
        <f aca="false">C5*E5</f>
        <v>1066</v>
      </c>
      <c r="G5" s="18" t="n">
        <f aca="false">INDEX('Sector Emission Factors'!$C$5:$C$11,MATCH(B5,'Sector Emission Factors'!$A$5:$A$11,0))</f>
        <v>145</v>
      </c>
      <c r="H5" s="19" t="n">
        <f aca="false">D5*G5</f>
        <v>1189</v>
      </c>
      <c r="I5" s="20" t="n">
        <f aca="false">H5-F5</f>
        <v>123</v>
      </c>
    </row>
    <row r="6" customFormat="false" ht="15" hidden="false" customHeight="false" outlineLevel="0" collapsed="false">
      <c r="A6" s="11" t="s">
        <v>48</v>
      </c>
      <c r="B6" s="11" t="s">
        <v>33</v>
      </c>
      <c r="C6" s="16" t="n">
        <f aca="false">IFERROR(INDEX('Loan Book — As Reported'!$D$5:$D$14,MATCH(A6,'Loan Book — As Reported'!$A$5:$A$14,0)),0)</f>
        <v>4.5</v>
      </c>
      <c r="D6" s="16" t="n">
        <f aca="false">INDEX('Loan Book — Reconciled'!$D$5:$D$16,MATCH(A6,'Loan Book — Reconciled'!$A$5:$A$16,0))</f>
        <v>4.5</v>
      </c>
      <c r="E6" s="21" t="n">
        <f aca="false">IFERROR(INDEX('Sector Emission Factors'!$B$5:$B$11,MATCH(IFERROR(INDEX('Loan Book — As Reported'!$C$5:$C$14,MATCH(A6,'Loan Book — As Reported'!$A$5:$A$14,0)),""),'Sector Emission Factors'!$A$5:$A$11,0)),0)</f>
        <v>38</v>
      </c>
      <c r="F6" s="22" t="n">
        <f aca="false">C6*E6</f>
        <v>171</v>
      </c>
      <c r="G6" s="21" t="n">
        <f aca="false">INDEX('Sector Emission Factors'!$C$5:$C$11,MATCH(B6,'Sector Emission Factors'!$A$5:$A$11,0))</f>
        <v>38</v>
      </c>
      <c r="H6" s="22" t="n">
        <f aca="false">D6*G6</f>
        <v>171</v>
      </c>
      <c r="I6" s="23" t="n">
        <f aca="false">H6-F6</f>
        <v>0</v>
      </c>
    </row>
    <row r="7" customFormat="false" ht="15" hidden="false" customHeight="false" outlineLevel="0" collapsed="false">
      <c r="A7" s="13" t="s">
        <v>49</v>
      </c>
      <c r="B7" s="13" t="s">
        <v>34</v>
      </c>
      <c r="C7" s="15" t="n">
        <f aca="false">IFERROR(INDEX('Loan Book — As Reported'!$D$5:$D$14,MATCH(A7,'Loan Book — As Reported'!$A$5:$A$14,0)),0)</f>
        <v>12</v>
      </c>
      <c r="D7" s="15" t="n">
        <f aca="false">INDEX('Loan Book — Reconciled'!$D$5:$D$16,MATCH(A7,'Loan Book — Reconciled'!$A$5:$A$16,0))</f>
        <v>12</v>
      </c>
      <c r="E7" s="18" t="n">
        <f aca="false">IFERROR(INDEX('Sector Emission Factors'!$B$5:$B$11,MATCH(IFERROR(INDEX('Loan Book — As Reported'!$C$5:$C$14,MATCH(A7,'Loan Book — As Reported'!$A$5:$A$14,0)),""),'Sector Emission Factors'!$A$5:$A$11,0)),0)</f>
        <v>52</v>
      </c>
      <c r="F7" s="19" t="n">
        <f aca="false">C7*E7</f>
        <v>624</v>
      </c>
      <c r="G7" s="18" t="n">
        <f aca="false">INDEX('Sector Emission Factors'!$C$5:$C$11,MATCH(B7,'Sector Emission Factors'!$A$5:$A$11,0))</f>
        <v>52</v>
      </c>
      <c r="H7" s="19" t="n">
        <f aca="false">D7*G7</f>
        <v>624</v>
      </c>
      <c r="I7" s="20" t="n">
        <f aca="false">H7-F7</f>
        <v>0</v>
      </c>
    </row>
    <row r="8" customFormat="false" ht="15" hidden="false" customHeight="false" outlineLevel="0" collapsed="false">
      <c r="A8" s="11" t="s">
        <v>51</v>
      </c>
      <c r="B8" s="11" t="s">
        <v>35</v>
      </c>
      <c r="C8" s="16" t="n">
        <f aca="false">IFERROR(INDEX('Loan Book — As Reported'!$D$5:$D$14,MATCH(A8,'Loan Book — As Reported'!$A$5:$A$14,0)),0)</f>
        <v>6.8</v>
      </c>
      <c r="D8" s="16" t="n">
        <f aca="false">INDEX('Loan Book — Reconciled'!$D$5:$D$16,MATCH(A8,'Loan Book — Reconciled'!$A$5:$A$16,0))</f>
        <v>5.1</v>
      </c>
      <c r="E8" s="21" t="n">
        <f aca="false">IFERROR(INDEX('Sector Emission Factors'!$B$5:$B$11,MATCH(IFERROR(INDEX('Loan Book — As Reported'!$C$5:$C$14,MATCH(A8,'Loan Book — As Reported'!$A$5:$A$14,0)),""),'Sector Emission Factors'!$A$5:$A$11,0)),0)</f>
        <v>168</v>
      </c>
      <c r="F8" s="22" t="n">
        <f aca="false">C8*E8</f>
        <v>1142.4</v>
      </c>
      <c r="G8" s="21" t="n">
        <f aca="false">INDEX('Sector Emission Factors'!$C$5:$C$11,MATCH(B8,'Sector Emission Factors'!$A$5:$A$11,0))</f>
        <v>168</v>
      </c>
      <c r="H8" s="22" t="n">
        <f aca="false">D8*G8</f>
        <v>856.8</v>
      </c>
      <c r="I8" s="23" t="n">
        <f aca="false">H8-F8</f>
        <v>-285.6</v>
      </c>
    </row>
    <row r="9" customFormat="false" ht="15" hidden="false" customHeight="false" outlineLevel="0" collapsed="false">
      <c r="A9" s="13" t="s">
        <v>53</v>
      </c>
      <c r="B9" s="13" t="s">
        <v>36</v>
      </c>
      <c r="C9" s="15" t="n">
        <f aca="false">IFERROR(INDEX('Loan Book — As Reported'!$D$5:$D$14,MATCH(A9,'Loan Book — As Reported'!$A$5:$A$14,0)),0)</f>
        <v>15</v>
      </c>
      <c r="D9" s="15" t="n">
        <f aca="false">INDEX('Loan Book — Reconciled'!$D$5:$D$16,MATCH(A9,'Loan Book — Reconciled'!$A$5:$A$16,0))</f>
        <v>15</v>
      </c>
      <c r="E9" s="18" t="n">
        <f aca="false">IFERROR(INDEX('Sector Emission Factors'!$B$5:$B$11,MATCH(IFERROR(INDEX('Loan Book — As Reported'!$C$5:$C$14,MATCH(A9,'Loan Book — As Reported'!$A$5:$A$14,0)),""),'Sector Emission Factors'!$A$5:$A$11,0)),0)</f>
        <v>12</v>
      </c>
      <c r="F9" s="19" t="n">
        <f aca="false">C9*E9</f>
        <v>180</v>
      </c>
      <c r="G9" s="18" t="n">
        <f aca="false">INDEX('Sector Emission Factors'!$C$5:$C$11,MATCH(B9,'Sector Emission Factors'!$A$5:$A$11,0))</f>
        <v>12</v>
      </c>
      <c r="H9" s="19" t="n">
        <f aca="false">D9*G9</f>
        <v>180</v>
      </c>
      <c r="I9" s="20" t="n">
        <f aca="false">H9-F9</f>
        <v>0</v>
      </c>
    </row>
    <row r="10" customFormat="false" ht="15" hidden="false" customHeight="false" outlineLevel="0" collapsed="false">
      <c r="A10" s="11" t="s">
        <v>55</v>
      </c>
      <c r="B10" s="11" t="s">
        <v>34</v>
      </c>
      <c r="C10" s="16" t="n">
        <f aca="false">IFERROR(INDEX('Loan Book — As Reported'!$D$5:$D$14,MATCH(A10,'Loan Book — As Reported'!$A$5:$A$14,0)),0)</f>
        <v>3.2</v>
      </c>
      <c r="D10" s="16" t="n">
        <f aca="false">INDEX('Loan Book — Reconciled'!$D$5:$D$16,MATCH(A10,'Loan Book — Reconciled'!$A$5:$A$16,0))</f>
        <v>3.2</v>
      </c>
      <c r="E10" s="21" t="n">
        <f aca="false">IFERROR(INDEX('Sector Emission Factors'!$B$5:$B$11,MATCH(IFERROR(INDEX('Loan Book — As Reported'!$C$5:$C$14,MATCH(A10,'Loan Book — As Reported'!$A$5:$A$14,0)),""),'Sector Emission Factors'!$A$5:$A$11,0)),0)</f>
        <v>52</v>
      </c>
      <c r="F10" s="22" t="n">
        <f aca="false">C10*E10</f>
        <v>166.4</v>
      </c>
      <c r="G10" s="21" t="n">
        <f aca="false">INDEX('Sector Emission Factors'!$C$5:$C$11,MATCH(B10,'Sector Emission Factors'!$A$5:$A$11,0))</f>
        <v>52</v>
      </c>
      <c r="H10" s="22" t="n">
        <f aca="false">D10*G10</f>
        <v>166.4</v>
      </c>
      <c r="I10" s="23" t="n">
        <f aca="false">H10-F10</f>
        <v>0</v>
      </c>
    </row>
    <row r="11" customFormat="false" ht="15" hidden="false" customHeight="false" outlineLevel="0" collapsed="false">
      <c r="A11" s="13" t="s">
        <v>57</v>
      </c>
      <c r="B11" s="13" t="s">
        <v>31</v>
      </c>
      <c r="C11" s="15" t="n">
        <f aca="false">IFERROR(INDEX('Loan Book — As Reported'!$D$5:$D$14,MATCH(A11,'Loan Book — As Reported'!$A$5:$A$14,0)),0)</f>
        <v>9.4</v>
      </c>
      <c r="D11" s="15" t="n">
        <f aca="false">INDEX('Loan Book — Reconciled'!$D$5:$D$16,MATCH(A11,'Loan Book — Reconciled'!$A$5:$A$16,0))</f>
        <v>9.4</v>
      </c>
      <c r="E11" s="18" t="n">
        <f aca="false">IFERROR(INDEX('Sector Emission Factors'!$B$5:$B$11,MATCH(IFERROR(INDEX('Loan Book — As Reported'!$C$5:$C$14,MATCH(A11,'Loan Book — As Reported'!$A$5:$A$14,0)),""),'Sector Emission Factors'!$A$5:$A$11,0)),0)</f>
        <v>52</v>
      </c>
      <c r="F11" s="19" t="n">
        <f aca="false">C11*E11</f>
        <v>488.8</v>
      </c>
      <c r="G11" s="18" t="n">
        <f aca="false">INDEX('Sector Emission Factors'!$C$5:$C$11,MATCH(B11,'Sector Emission Factors'!$A$5:$A$11,0))</f>
        <v>145</v>
      </c>
      <c r="H11" s="19" t="n">
        <f aca="false">D11*G11</f>
        <v>1363</v>
      </c>
      <c r="I11" s="20" t="n">
        <f aca="false">H11-F11</f>
        <v>874.2</v>
      </c>
    </row>
    <row r="12" customFormat="false" ht="15" hidden="false" customHeight="false" outlineLevel="0" collapsed="false">
      <c r="A12" s="11" t="s">
        <v>59</v>
      </c>
      <c r="B12" s="11" t="s">
        <v>38</v>
      </c>
      <c r="C12" s="16" t="n">
        <f aca="false">IFERROR(INDEX('Loan Book — As Reported'!$D$5:$D$14,MATCH(A12,'Loan Book — As Reported'!$A$5:$A$14,0)),0)</f>
        <v>5.5</v>
      </c>
      <c r="D12" s="16" t="n">
        <f aca="false">INDEX('Loan Book — Reconciled'!$D$5:$D$16,MATCH(A12,'Loan Book — Reconciled'!$A$5:$A$16,0))</f>
        <v>5.5</v>
      </c>
      <c r="E12" s="21" t="n">
        <f aca="false">IFERROR(INDEX('Sector Emission Factors'!$B$5:$B$11,MATCH(IFERROR(INDEX('Loan Book — As Reported'!$C$5:$C$14,MATCH(A12,'Loan Book — As Reported'!$A$5:$A$14,0)),""),'Sector Emission Factors'!$A$5:$A$11,0)),0)</f>
        <v>95</v>
      </c>
      <c r="F12" s="22" t="n">
        <f aca="false">C12*E12</f>
        <v>522.5</v>
      </c>
      <c r="G12" s="21" t="n">
        <f aca="false">INDEX('Sector Emission Factors'!$C$5:$C$11,MATCH(B12,'Sector Emission Factors'!$A$5:$A$11,0))</f>
        <v>95</v>
      </c>
      <c r="H12" s="22" t="n">
        <f aca="false">D12*G12</f>
        <v>522.5</v>
      </c>
      <c r="I12" s="23" t="n">
        <f aca="false">H12-F12</f>
        <v>0</v>
      </c>
    </row>
    <row r="13" customFormat="false" ht="15" hidden="false" customHeight="false" outlineLevel="0" collapsed="false">
      <c r="A13" s="13" t="s">
        <v>60</v>
      </c>
      <c r="B13" s="13" t="s">
        <v>37</v>
      </c>
      <c r="C13" s="15" t="n">
        <f aca="false">IFERROR(INDEX('Loan Book — As Reported'!$D$5:$D$14,MATCH(A13,'Loan Book — As Reported'!$A$5:$A$14,0)),0)</f>
        <v>10.1</v>
      </c>
      <c r="D13" s="15" t="n">
        <f aca="false">INDEX('Loan Book — Reconciled'!$D$5:$D$16,MATCH(A13,'Loan Book — Reconciled'!$A$5:$A$16,0))</f>
        <v>10.1</v>
      </c>
      <c r="E13" s="18" t="n">
        <f aca="false">IFERROR(INDEX('Sector Emission Factors'!$B$5:$B$11,MATCH(IFERROR(INDEX('Loan Book — As Reported'!$C$5:$C$14,MATCH(A13,'Loan Book — As Reported'!$A$5:$A$14,0)),""),'Sector Emission Factors'!$A$5:$A$11,0)),0)</f>
        <v>410</v>
      </c>
      <c r="F13" s="19" t="n">
        <f aca="false">C13*E13</f>
        <v>4141</v>
      </c>
      <c r="G13" s="18" t="n">
        <f aca="false">INDEX('Sector Emission Factors'!$C$5:$C$11,MATCH(B13,'Sector Emission Factors'!$A$5:$A$11,0))</f>
        <v>410</v>
      </c>
      <c r="H13" s="19" t="n">
        <f aca="false">D13*G13</f>
        <v>4141</v>
      </c>
      <c r="I13" s="20" t="n">
        <f aca="false">H13-F13</f>
        <v>0</v>
      </c>
    </row>
    <row r="14" customFormat="false" ht="15" hidden="false" customHeight="false" outlineLevel="0" collapsed="false">
      <c r="A14" s="11" t="s">
        <v>61</v>
      </c>
      <c r="B14" s="11" t="s">
        <v>36</v>
      </c>
      <c r="C14" s="16" t="n">
        <f aca="false">IFERROR(INDEX('Loan Book — As Reported'!$D$5:$D$14,MATCH(A14,'Loan Book — As Reported'!$A$5:$A$14,0)),0)</f>
        <v>7</v>
      </c>
      <c r="D14" s="16" t="n">
        <f aca="false">INDEX('Loan Book — Reconciled'!$D$5:$D$16,MATCH(A14,'Loan Book — Reconciled'!$A$5:$A$16,0))</f>
        <v>7</v>
      </c>
      <c r="E14" s="21" t="n">
        <f aca="false">IFERROR(INDEX('Sector Emission Factors'!$B$5:$B$11,MATCH(IFERROR(INDEX('Loan Book — As Reported'!$C$5:$C$14,MATCH(A14,'Loan Book — As Reported'!$A$5:$A$14,0)),""),'Sector Emission Factors'!$A$5:$A$11,0)),0)</f>
        <v>12</v>
      </c>
      <c r="F14" s="22" t="n">
        <f aca="false">C14*E14</f>
        <v>84</v>
      </c>
      <c r="G14" s="21" t="n">
        <f aca="false">INDEX('Sector Emission Factors'!$C$5:$C$11,MATCH(B14,'Sector Emission Factors'!$A$5:$A$11,0))</f>
        <v>12</v>
      </c>
      <c r="H14" s="22" t="n">
        <f aca="false">D14*G14</f>
        <v>84</v>
      </c>
      <c r="I14" s="23" t="n">
        <f aca="false">H14-F14</f>
        <v>0</v>
      </c>
    </row>
    <row r="15" customFormat="false" ht="15" hidden="false" customHeight="false" outlineLevel="0" collapsed="false">
      <c r="A15" s="13" t="s">
        <v>68</v>
      </c>
      <c r="B15" s="13" t="s">
        <v>31</v>
      </c>
      <c r="C15" s="15" t="n">
        <f aca="false">IFERROR(INDEX('Loan Book — As Reported'!$D$5:$D$14,MATCH(A15,'Loan Book — As Reported'!$A$5:$A$14,0)),0)</f>
        <v>0</v>
      </c>
      <c r="D15" s="15" t="n">
        <f aca="false">INDEX('Loan Book — Reconciled'!$D$5:$D$16,MATCH(A15,'Loan Book — Reconciled'!$A$5:$A$16,0))</f>
        <v>4</v>
      </c>
      <c r="E15" s="18" t="n">
        <f aca="false">IFERROR(INDEX('Sector Emission Factors'!$B$5:$B$11,MATCH(IFERROR(INDEX('Loan Book — As Reported'!$C$5:$C$14,MATCH(A15,'Loan Book — As Reported'!$A$5:$A$14,0)),""),'Sector Emission Factors'!$A$5:$A$11,0)),0)</f>
        <v>0</v>
      </c>
      <c r="F15" s="19" t="n">
        <f aca="false">C15*E15</f>
        <v>0</v>
      </c>
      <c r="G15" s="18" t="n">
        <f aca="false">INDEX('Sector Emission Factors'!$C$5:$C$11,MATCH(B15,'Sector Emission Factors'!$A$5:$A$11,0))</f>
        <v>145</v>
      </c>
      <c r="H15" s="19" t="n">
        <f aca="false">D15*G15</f>
        <v>580</v>
      </c>
      <c r="I15" s="20" t="n">
        <f aca="false">H15-F15</f>
        <v>580</v>
      </c>
    </row>
    <row r="16" customFormat="false" ht="15" hidden="false" customHeight="false" outlineLevel="0" collapsed="false">
      <c r="A16" s="11" t="s">
        <v>70</v>
      </c>
      <c r="B16" s="11" t="s">
        <v>34</v>
      </c>
      <c r="C16" s="16" t="n">
        <f aca="false">IFERROR(INDEX('Loan Book — As Reported'!$D$5:$D$14,MATCH(A16,'Loan Book — As Reported'!$A$5:$A$14,0)),0)</f>
        <v>0</v>
      </c>
      <c r="D16" s="16" t="n">
        <f aca="false">INDEX('Loan Book — Reconciled'!$D$5:$D$16,MATCH(A16,'Loan Book — Reconciled'!$A$5:$A$16,0))</f>
        <v>6.5</v>
      </c>
      <c r="E16" s="21" t="n">
        <f aca="false">IFERROR(INDEX('Sector Emission Factors'!$B$5:$B$11,MATCH(IFERROR(INDEX('Loan Book — As Reported'!$C$5:$C$14,MATCH(A16,'Loan Book — As Reported'!$A$5:$A$14,0)),""),'Sector Emission Factors'!$A$5:$A$11,0)),0)</f>
        <v>0</v>
      </c>
      <c r="F16" s="22" t="n">
        <f aca="false">C16*E16</f>
        <v>0</v>
      </c>
      <c r="G16" s="21" t="n">
        <f aca="false">INDEX('Sector Emission Factors'!$C$5:$C$11,MATCH(B16,'Sector Emission Factors'!$A$5:$A$11,0))</f>
        <v>52</v>
      </c>
      <c r="H16" s="22" t="n">
        <f aca="false">D16*G16</f>
        <v>338</v>
      </c>
      <c r="I16" s="23" t="n">
        <f aca="false">H16-F16</f>
        <v>338</v>
      </c>
    </row>
    <row r="17" customFormat="false" ht="15" hidden="false" customHeight="false" outlineLevel="0" collapsed="false">
      <c r="A17" s="24" t="s">
        <v>62</v>
      </c>
      <c r="B17" s="24"/>
      <c r="C17" s="25" t="n">
        <f aca="false">SUM(C5:C16)</f>
        <v>81.7</v>
      </c>
      <c r="D17" s="25" t="n">
        <f aca="false">SUM(D5:D16)</f>
        <v>90.5</v>
      </c>
      <c r="E17" s="24"/>
      <c r="F17" s="26" t="n">
        <f aca="false">SUM(F5:F16)</f>
        <v>8586.1</v>
      </c>
      <c r="G17" s="24"/>
      <c r="H17" s="26" t="n">
        <f aca="false">SUM(H5:H16)</f>
        <v>10215.7</v>
      </c>
      <c r="I17" s="26" t="n">
        <f aca="false">SUM(I5:I16)</f>
        <v>1629.6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</row>
    <row r="2" customFormat="false" ht="15" hidden="false" customHeight="false" outlineLevel="0" collapsed="false">
      <c r="A2" s="2" t="s">
        <v>81</v>
      </c>
      <c r="B2" s="2"/>
      <c r="C2" s="2"/>
      <c r="D2" s="2"/>
    </row>
    <row r="4" customFormat="false" ht="15" hidden="false" customHeight="false" outlineLevel="0" collapsed="false">
      <c r="A4" s="8" t="s">
        <v>82</v>
      </c>
      <c r="B4" s="8" t="s">
        <v>83</v>
      </c>
      <c r="C4" s="8" t="s">
        <v>84</v>
      </c>
      <c r="D4" s="8" t="s">
        <v>85</v>
      </c>
    </row>
    <row r="5" customFormat="false" ht="45.75" hidden="false" customHeight="true" outlineLevel="0" collapsed="false">
      <c r="A5" s="27" t="s">
        <v>86</v>
      </c>
      <c r="B5" s="28" t="s">
        <v>87</v>
      </c>
      <c r="C5" s="29" t="s">
        <v>88</v>
      </c>
      <c r="D5" s="30" t="n">
        <f aca="false">'Emissions Reconciliation'!F8-'Emissions Reconciliation'!H8</f>
        <v>285.6</v>
      </c>
    </row>
    <row r="6" customFormat="false" ht="45.75" hidden="false" customHeight="true" outlineLevel="0" collapsed="false">
      <c r="A6" s="27" t="s">
        <v>89</v>
      </c>
      <c r="B6" s="28" t="s">
        <v>90</v>
      </c>
      <c r="C6" s="29" t="s">
        <v>91</v>
      </c>
      <c r="D6" s="30" t="n">
        <f aca="false">'Emissions Reconciliation'!H11-'Emissions Reconciliation'!F11</f>
        <v>874.2</v>
      </c>
    </row>
    <row r="7" customFormat="false" ht="45.75" hidden="false" customHeight="true" outlineLevel="0" collapsed="false">
      <c r="A7" s="27" t="s">
        <v>92</v>
      </c>
      <c r="B7" s="28" t="s">
        <v>93</v>
      </c>
      <c r="C7" s="29" t="s">
        <v>94</v>
      </c>
      <c r="D7" s="30" t="n">
        <f aca="false">'Emissions Reconciliation'!H15+'Emissions Reconciliation'!H16</f>
        <v>918</v>
      </c>
    </row>
    <row r="8" customFormat="false" ht="45.75" hidden="false" customHeight="true" outlineLevel="0" collapsed="false">
      <c r="A8" s="27" t="s">
        <v>95</v>
      </c>
      <c r="B8" s="28" t="s">
        <v>96</v>
      </c>
      <c r="C8" s="29" t="s">
        <v>97</v>
      </c>
      <c r="D8" s="30" t="n">
        <f aca="false">'Emissions Reconciliation'!H5-'Emissions Reconciliation'!F5</f>
        <v>123</v>
      </c>
    </row>
    <row r="10" customFormat="false" ht="27.75" hidden="false" customHeight="true" outlineLevel="0" collapsed="false">
      <c r="A10" s="31" t="s">
        <v>98</v>
      </c>
      <c r="B10" s="31"/>
      <c r="C10" s="31"/>
      <c r="D10" s="31"/>
    </row>
  </sheetData>
  <mergeCells count="3">
    <mergeCell ref="A1:D1"/>
    <mergeCell ref="A2:D2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18.55" hidden="false" customHeight="false" outlineLevel="0" collapsed="false">
      <c r="A1" s="32" t="s">
        <v>99</v>
      </c>
      <c r="B1" s="32"/>
      <c r="C1" s="32"/>
    </row>
    <row r="2" customFormat="false" ht="15" hidden="false" customHeight="false" outlineLevel="0" collapsed="false">
      <c r="A2" s="2" t="s">
        <v>100</v>
      </c>
      <c r="B2" s="2"/>
      <c r="C2" s="2"/>
    </row>
    <row r="4" customFormat="false" ht="15" hidden="false" customHeight="false" outlineLevel="0" collapsed="false">
      <c r="A4" s="33" t="s">
        <v>101</v>
      </c>
      <c r="B4" s="33"/>
      <c r="C4" s="33"/>
    </row>
    <row r="5" customFormat="false" ht="60" hidden="false" customHeight="true" outlineLevel="0" collapsed="false">
      <c r="A5" s="28" t="s">
        <v>102</v>
      </c>
      <c r="B5" s="29" t="s">
        <v>103</v>
      </c>
      <c r="C5" s="29"/>
    </row>
    <row r="7" customFormat="false" ht="15" hidden="false" customHeight="false" outlineLevel="0" collapsed="false">
      <c r="A7" s="33" t="s">
        <v>104</v>
      </c>
      <c r="B7" s="33"/>
      <c r="C7" s="33"/>
    </row>
    <row r="8" customFormat="false" ht="60" hidden="false" customHeight="true" outlineLevel="0" collapsed="false">
      <c r="A8" s="28" t="s">
        <v>105</v>
      </c>
      <c r="B8" s="29" t="s">
        <v>106</v>
      </c>
      <c r="C8" s="29"/>
    </row>
    <row r="10" customFormat="false" ht="23.85" hidden="false" customHeight="false" outlineLevel="0" collapsed="false">
      <c r="A10" s="8" t="s">
        <v>27</v>
      </c>
      <c r="B10" s="8" t="s">
        <v>107</v>
      </c>
      <c r="C10" s="8" t="s">
        <v>108</v>
      </c>
    </row>
    <row r="11" customFormat="false" ht="15" hidden="false" customHeight="false" outlineLevel="0" collapsed="false">
      <c r="A11" s="13" t="s">
        <v>31</v>
      </c>
      <c r="B11" s="19" t="n">
        <f aca="false">SUMIFS('Emissions Reconciliation'!$H$5:$H$16,'Emissions Reconciliation'!$B$5:$B$16,A11)</f>
        <v>3132</v>
      </c>
      <c r="C11" s="34" t="n">
        <f aca="false">IFERROR(B11/$B$18,"")</f>
        <v>0.306586920132737</v>
      </c>
    </row>
    <row r="12" customFormat="false" ht="15" hidden="false" customHeight="false" outlineLevel="0" collapsed="false">
      <c r="A12" s="11" t="s">
        <v>33</v>
      </c>
      <c r="B12" s="22" t="n">
        <f aca="false">SUMIFS('Emissions Reconciliation'!$H$5:$H$16,'Emissions Reconciliation'!$B$5:$B$16,A12)</f>
        <v>171</v>
      </c>
      <c r="C12" s="35" t="n">
        <f aca="false">IFERROR(B12/$B$18,"")</f>
        <v>0.0167389410417299</v>
      </c>
    </row>
    <row r="13" customFormat="false" ht="15" hidden="false" customHeight="false" outlineLevel="0" collapsed="false">
      <c r="A13" s="13" t="s">
        <v>34</v>
      </c>
      <c r="B13" s="19" t="n">
        <f aca="false">SUMIFS('Emissions Reconciliation'!$H$5:$H$16,'Emissions Reconciliation'!$B$5:$B$16,A13)</f>
        <v>1128.4</v>
      </c>
      <c r="C13" s="34" t="n">
        <f aca="false">IFERROR(B13/$B$18,"")</f>
        <v>0.110457433166597</v>
      </c>
    </row>
    <row r="14" customFormat="false" ht="15" hidden="false" customHeight="false" outlineLevel="0" collapsed="false">
      <c r="A14" s="11" t="s">
        <v>35</v>
      </c>
      <c r="B14" s="22" t="n">
        <f aca="false">SUMIFS('Emissions Reconciliation'!$H$5:$H$16,'Emissions Reconciliation'!$B$5:$B$16,A14)</f>
        <v>856.8</v>
      </c>
      <c r="C14" s="35" t="n">
        <f aca="false">IFERROR(B14/$B$18,"")</f>
        <v>0.0838709045880361</v>
      </c>
    </row>
    <row r="15" customFormat="false" ht="15" hidden="false" customHeight="false" outlineLevel="0" collapsed="false">
      <c r="A15" s="13" t="s">
        <v>36</v>
      </c>
      <c r="B15" s="19" t="n">
        <f aca="false">SUMIFS('Emissions Reconciliation'!$H$5:$H$16,'Emissions Reconciliation'!$B$5:$B$16,A15)</f>
        <v>264</v>
      </c>
      <c r="C15" s="34" t="n">
        <f aca="false">IFERROR(B15/$B$18,"")</f>
        <v>0.0258425756433725</v>
      </c>
    </row>
    <row r="16" customFormat="false" ht="15" hidden="false" customHeight="false" outlineLevel="0" collapsed="false">
      <c r="A16" s="11" t="s">
        <v>37</v>
      </c>
      <c r="B16" s="22" t="n">
        <f aca="false">SUMIFS('Emissions Reconciliation'!$H$5:$H$16,'Emissions Reconciliation'!$B$5:$B$16,A16)</f>
        <v>4141</v>
      </c>
      <c r="C16" s="35" t="n">
        <f aca="false">IFERROR(B16/$B$18,"")</f>
        <v>0.405356461133354</v>
      </c>
    </row>
    <row r="17" customFormat="false" ht="15" hidden="false" customHeight="false" outlineLevel="0" collapsed="false">
      <c r="A17" s="13" t="s">
        <v>38</v>
      </c>
      <c r="B17" s="19" t="n">
        <f aca="false">SUMIFS('Emissions Reconciliation'!$H$5:$H$16,'Emissions Reconciliation'!$B$5:$B$16,A17)</f>
        <v>522.5</v>
      </c>
      <c r="C17" s="34" t="n">
        <f aca="false">IFERROR(B17/$B$18,"")</f>
        <v>0.0511467642941747</v>
      </c>
    </row>
    <row r="18" customFormat="false" ht="15" hidden="false" customHeight="false" outlineLevel="0" collapsed="false">
      <c r="A18" s="28" t="s">
        <v>62</v>
      </c>
      <c r="B18" s="36" t="n">
        <f aca="false">SUM(B11:B17)</f>
        <v>10215.7</v>
      </c>
      <c r="C18" s="37" t="n">
        <f aca="false">IFERROR(B18/$B$18,"")</f>
        <v>1</v>
      </c>
    </row>
    <row r="20" customFormat="false" ht="15" hidden="false" customHeight="false" outlineLevel="0" collapsed="false">
      <c r="A20" s="33" t="s">
        <v>109</v>
      </c>
      <c r="B20" s="33"/>
      <c r="C20" s="33"/>
    </row>
    <row r="21" customFormat="false" ht="72" hidden="false" customHeight="true" outlineLevel="0" collapsed="false">
      <c r="A21" s="28" t="s">
        <v>110</v>
      </c>
      <c r="B21" s="29" t="s">
        <v>111</v>
      </c>
      <c r="C21" s="29"/>
    </row>
    <row r="23" customFormat="false" ht="15" hidden="false" customHeight="false" outlineLevel="0" collapsed="false">
      <c r="A23" s="33" t="s">
        <v>112</v>
      </c>
      <c r="B23" s="33"/>
      <c r="C23" s="33"/>
    </row>
    <row r="24" customFormat="false" ht="60" hidden="false" customHeight="true" outlineLevel="0" collapsed="false">
      <c r="A24" s="28" t="s">
        <v>113</v>
      </c>
      <c r="B24" s="29" t="s">
        <v>114</v>
      </c>
      <c r="C24" s="29"/>
    </row>
    <row r="26" customFormat="false" ht="15" hidden="false" customHeight="false" outlineLevel="0" collapsed="false">
      <c r="A26" s="8" t="s">
        <v>115</v>
      </c>
      <c r="B26" s="8" t="s">
        <v>116</v>
      </c>
      <c r="C26" s="8" t="s">
        <v>117</v>
      </c>
    </row>
    <row r="27" customFormat="false" ht="15" hidden="false" customHeight="false" outlineLevel="0" collapsed="false">
      <c r="A27" s="27" t="s">
        <v>118</v>
      </c>
      <c r="B27" s="38" t="n">
        <v>11000</v>
      </c>
      <c r="C27" s="27"/>
    </row>
    <row r="28" customFormat="false" ht="15" hidden="false" customHeight="false" outlineLevel="0" collapsed="false">
      <c r="A28" s="27" t="s">
        <v>119</v>
      </c>
      <c r="B28" s="39" t="n">
        <f aca="false">'TCFD Disclosure Summary'!B5</f>
        <v>9333</v>
      </c>
      <c r="C28" s="27"/>
    </row>
    <row r="29" customFormat="false" ht="15" hidden="false" customHeight="false" outlineLevel="0" collapsed="false">
      <c r="A29" s="27" t="s">
        <v>120</v>
      </c>
      <c r="B29" s="39" t="n">
        <f aca="false">'Emissions Reconciliation'!H17</f>
        <v>10215.7</v>
      </c>
      <c r="C29" s="27"/>
    </row>
    <row r="30" customFormat="false" ht="15" hidden="false" customHeight="false" outlineLevel="0" collapsed="false">
      <c r="A30" s="27" t="s">
        <v>121</v>
      </c>
      <c r="B30" s="38" t="n">
        <v>8000</v>
      </c>
      <c r="C30" s="27"/>
    </row>
    <row r="31" customFormat="false" ht="15" hidden="false" customHeight="false" outlineLevel="0" collapsed="false">
      <c r="A31" s="28" t="s">
        <v>122</v>
      </c>
      <c r="B31" s="36" t="n">
        <f aca="false">B27-(B27-B30)*(2025-2020)/(2030-2020)</f>
        <v>9500</v>
      </c>
      <c r="C31" s="40" t="n">
        <f aca="false">IFERROR((B29-B31)/B31,"n/a")</f>
        <v>0.0753368421052632</v>
      </c>
    </row>
    <row r="32" customFormat="false" ht="15" hidden="false" customHeight="false" outlineLevel="0" collapsed="false">
      <c r="A32" s="41" t="s">
        <v>123</v>
      </c>
      <c r="B32" s="41"/>
      <c r="C32" s="41"/>
    </row>
  </sheetData>
  <mergeCells count="11">
    <mergeCell ref="A1:C1"/>
    <mergeCell ref="A2:C2"/>
    <mergeCell ref="A4:C4"/>
    <mergeCell ref="B5:C5"/>
    <mergeCell ref="A7:C7"/>
    <mergeCell ref="B8:C8"/>
    <mergeCell ref="A20:C20"/>
    <mergeCell ref="B21:C21"/>
    <mergeCell ref="A23:C23"/>
    <mergeCell ref="B24:C24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124</v>
      </c>
      <c r="B1" s="1"/>
      <c r="C1" s="1"/>
    </row>
    <row r="2" customFormat="false" ht="15" hidden="false" customHeight="false" outlineLevel="0" collapsed="false">
      <c r="A2" s="2" t="s">
        <v>125</v>
      </c>
      <c r="B2" s="2"/>
      <c r="C2" s="2"/>
    </row>
    <row r="4" customFormat="false" ht="15" hidden="false" customHeight="false" outlineLevel="0" collapsed="false">
      <c r="A4" s="8" t="s">
        <v>126</v>
      </c>
      <c r="B4" s="8" t="s">
        <v>127</v>
      </c>
      <c r="C4" s="8" t="s">
        <v>30</v>
      </c>
    </row>
    <row r="5" customFormat="false" ht="23.85" hidden="false" customHeight="false" outlineLevel="0" collapsed="false">
      <c r="A5" s="13" t="s">
        <v>128</v>
      </c>
      <c r="B5" s="19" t="n">
        <v>9333</v>
      </c>
      <c r="C5" s="14" t="s">
        <v>129</v>
      </c>
    </row>
    <row r="6" customFormat="false" ht="23.85" hidden="false" customHeight="false" outlineLevel="0" collapsed="false">
      <c r="A6" s="11" t="s">
        <v>130</v>
      </c>
      <c r="B6" s="22" t="n">
        <f aca="false">'Emissions Reconciliation'!F17</f>
        <v>8586.1</v>
      </c>
      <c r="C6" s="12" t="s">
        <v>131</v>
      </c>
    </row>
    <row r="7" customFormat="false" ht="23.85" hidden="false" customHeight="false" outlineLevel="0" collapsed="false">
      <c r="A7" s="13" t="s">
        <v>132</v>
      </c>
      <c r="B7" s="42" t="n">
        <f aca="false">IFERROR((B6-B5)/B5,"n/a")</f>
        <v>-0.0800278581377906</v>
      </c>
      <c r="C7" s="14" t="s">
        <v>133</v>
      </c>
    </row>
    <row r="8" customFormat="false" ht="15" hidden="false" customHeight="false" outlineLevel="0" collapsed="false">
      <c r="A8" s="11" t="s">
        <v>134</v>
      </c>
      <c r="B8" s="22" t="n">
        <f aca="false">'Emissions Reconciliation'!H17</f>
        <v>10215.7</v>
      </c>
      <c r="C8" s="12" t="s">
        <v>135</v>
      </c>
    </row>
    <row r="9" customFormat="false" ht="23.85" hidden="false" customHeight="false" outlineLevel="0" collapsed="false">
      <c r="A9" s="13" t="s">
        <v>136</v>
      </c>
      <c r="B9" s="42" t="n">
        <f aca="false">IFERROR((B8-B5)/B5,"n/a")</f>
        <v>0.0945783777992072</v>
      </c>
      <c r="C9" s="14" t="s">
        <v>137</v>
      </c>
    </row>
    <row r="10" customFormat="false" ht="15" hidden="false" customHeight="false" outlineLevel="0" collapsed="false">
      <c r="A10" s="11" t="s">
        <v>138</v>
      </c>
      <c r="B10" s="23" t="n">
        <f aca="false">B8-B6</f>
        <v>1629.6</v>
      </c>
      <c r="C10" s="12" t="s">
        <v>139</v>
      </c>
    </row>
    <row r="11" customFormat="false" ht="15" hidden="false" customHeight="false" outlineLevel="0" collapsed="false">
      <c r="A11" s="13" t="s">
        <v>140</v>
      </c>
      <c r="B11" s="34" t="n">
        <f aca="false">IFERROR((B8-B6)/B6,"n/a")</f>
        <v>0.189795133995644</v>
      </c>
      <c r="C11" s="14"/>
    </row>
    <row r="14" customFormat="false" ht="15" hidden="false" customHeight="false" outlineLevel="0" collapsed="false">
      <c r="A14" s="5" t="s">
        <v>141</v>
      </c>
    </row>
    <row r="15" customFormat="false" ht="43.5" hidden="false" customHeight="true" outlineLevel="0" collapsed="false">
      <c r="A15" s="43" t="s">
        <v>142</v>
      </c>
      <c r="B15" s="43"/>
      <c r="C15" s="43"/>
    </row>
  </sheetData>
  <mergeCells count="3">
    <mergeCell ref="A1:C1"/>
    <mergeCell ref="A2:C2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2026-08-13T21:38:22Z</dcterms:created>
  <dc:creator>openpyxl</dc:creator>
  <dc:description/>
  <dc:language>en-US</dc:language>
  <cp:lastModifiedBy/>
  <dcterms:modified xsi:type="dcterms:W3CDTF">2026-08-13T21:38:25Z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