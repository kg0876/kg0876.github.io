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sgit\Downloads\Final Project one\"/>
    </mc:Choice>
  </mc:AlternateContent>
  <xr:revisionPtr revIDLastSave="0" documentId="13_ncr:1_{D257DE3D-A8C0-46D4-AD79-D8386E373697}" xr6:coauthVersionLast="47" xr6:coauthVersionMax="47" xr10:uidLastSave="{00000000-0000-0000-0000-000000000000}"/>
  <bookViews>
    <workbookView xWindow="-120" yWindow="-120" windowWidth="29040" windowHeight="15720" tabRatio="500" firstSheet="2" activeTab="4" xr2:uid="{00000000-000D-0000-FFFF-FFFF00000000}"/>
  </bookViews>
  <sheets>
    <sheet name="Stakeholder Register" sheetId="1" r:id="rId1"/>
    <sheet name="Budget" sheetId="2" r:id="rId2"/>
    <sheet name="Actuals (D365 Export)" sheetId="3" r:id="rId3"/>
    <sheet name="Committed POs" sheetId="4" r:id="rId4"/>
    <sheet name="Cost Dashboard" sheetId="5" r:id="rId5"/>
    <sheet name="RAID Log" sheetId="6" r:id="rId6"/>
    <sheet name="Change Control Log" sheetId="7" r:id="rId7"/>
    <sheet name="Action Register" sheetId="8" r:id="rId8"/>
    <sheet name="Decision Log" sheetId="9" r:id="rId9"/>
    <sheet name="Milestone Tracker" sheetId="10" r:id="rId10"/>
    <sheet name="Status Report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2" i="5" l="1"/>
  <c r="D32" i="5"/>
  <c r="D33" i="5" s="1"/>
  <c r="D34" i="5" s="1"/>
  <c r="D35" i="5" s="1"/>
  <c r="D36" i="5" s="1"/>
  <c r="D37" i="5" s="1"/>
  <c r="D38" i="5" s="1"/>
  <c r="D39" i="5" s="1"/>
  <c r="E23" i="5"/>
  <c r="F14" i="5"/>
  <c r="E14" i="5"/>
  <c r="D14" i="5"/>
  <c r="F13" i="5"/>
  <c r="E13" i="5"/>
  <c r="D13" i="5"/>
  <c r="C13" i="5"/>
  <c r="G13" i="5" s="1"/>
  <c r="F12" i="5"/>
  <c r="E12" i="5"/>
  <c r="D12" i="5"/>
  <c r="F11" i="5"/>
  <c r="E11" i="5"/>
  <c r="D11" i="5"/>
  <c r="F10" i="5"/>
  <c r="E10" i="5"/>
  <c r="D10" i="5"/>
  <c r="C10" i="5"/>
  <c r="G10" i="5" s="1"/>
  <c r="F9" i="5"/>
  <c r="E9" i="5"/>
  <c r="D9" i="5"/>
  <c r="F8" i="5"/>
  <c r="E8" i="5"/>
  <c r="D8" i="5"/>
  <c r="C8" i="5"/>
  <c r="G8" i="5" s="1"/>
  <c r="F7" i="5"/>
  <c r="E7" i="5"/>
  <c r="D7" i="5"/>
  <c r="C7" i="5"/>
  <c r="G7" i="5" s="1"/>
  <c r="F6" i="5"/>
  <c r="F15" i="5" s="1"/>
  <c r="E22" i="5" s="1"/>
  <c r="E6" i="5"/>
  <c r="E15" i="5" s="1"/>
  <c r="D6" i="5"/>
  <c r="D15" i="5" s="1"/>
  <c r="E21" i="5" s="1"/>
  <c r="C6" i="5"/>
  <c r="G6" i="5" s="1"/>
  <c r="G11" i="4"/>
  <c r="D17" i="2"/>
  <c r="C17" i="2"/>
  <c r="N15" i="2"/>
  <c r="M15" i="2"/>
  <c r="L15" i="2"/>
  <c r="K15" i="2"/>
  <c r="J15" i="2"/>
  <c r="I15" i="2"/>
  <c r="H15" i="2"/>
  <c r="G15" i="2"/>
  <c r="J17" i="2" s="1"/>
  <c r="F15" i="2"/>
  <c r="E15" i="2"/>
  <c r="L17" i="2" s="1"/>
  <c r="D15" i="2"/>
  <c r="C15" i="2"/>
  <c r="C43" i="5" s="1"/>
  <c r="O14" i="2"/>
  <c r="C14" i="5" s="1"/>
  <c r="O13" i="2"/>
  <c r="O12" i="2"/>
  <c r="C12" i="5" s="1"/>
  <c r="O11" i="2"/>
  <c r="C11" i="5" s="1"/>
  <c r="O10" i="2"/>
  <c r="O9" i="2"/>
  <c r="C9" i="5" s="1"/>
  <c r="O8" i="2"/>
  <c r="O7" i="2"/>
  <c r="O6" i="2"/>
  <c r="E19" i="5" l="1"/>
  <c r="H8" i="5"/>
  <c r="G9" i="5"/>
  <c r="G15" i="5" s="1"/>
  <c r="I9" i="5"/>
  <c r="J9" i="5" s="1"/>
  <c r="H13" i="5"/>
  <c r="I13" i="5" s="1"/>
  <c r="J13" i="5" s="1"/>
  <c r="G11" i="5"/>
  <c r="H11" i="5" s="1"/>
  <c r="I11" i="5" s="1"/>
  <c r="J11" i="5" s="1"/>
  <c r="H9" i="5"/>
  <c r="G14" i="5"/>
  <c r="E26" i="5"/>
  <c r="H10" i="5"/>
  <c r="G12" i="5"/>
  <c r="H7" i="5"/>
  <c r="I7" i="5" s="1"/>
  <c r="J7" i="5" s="1"/>
  <c r="H14" i="5"/>
  <c r="I14" i="5" s="1"/>
  <c r="J14" i="5" s="1"/>
  <c r="H12" i="5"/>
  <c r="I12" i="5" s="1"/>
  <c r="J12" i="5" s="1"/>
  <c r="E17" i="2"/>
  <c r="H6" i="5"/>
  <c r="N17" i="2"/>
  <c r="C34" i="5"/>
  <c r="C38" i="5"/>
  <c r="K17" i="2"/>
  <c r="M17" i="2"/>
  <c r="F17" i="2"/>
  <c r="I6" i="5"/>
  <c r="I8" i="5"/>
  <c r="J8" i="5" s="1"/>
  <c r="I10" i="5"/>
  <c r="G17" i="2"/>
  <c r="J6" i="5"/>
  <c r="J10" i="5"/>
  <c r="O15" i="2"/>
  <c r="C39" i="5"/>
  <c r="H17" i="2"/>
  <c r="C15" i="5"/>
  <c r="E18" i="5" s="1"/>
  <c r="C35" i="5"/>
  <c r="I17" i="2"/>
  <c r="C36" i="5"/>
  <c r="C40" i="5"/>
  <c r="C41" i="5"/>
  <c r="C33" i="5"/>
  <c r="C37" i="5"/>
  <c r="C42" i="5"/>
  <c r="I15" i="5" l="1"/>
  <c r="H15" i="5"/>
  <c r="E24" i="5" s="1"/>
  <c r="E20" i="5"/>
  <c r="E27" i="5" l="1"/>
  <c r="E25" i="5"/>
  <c r="J15" i="5"/>
</calcChain>
</file>

<file path=xl/sharedStrings.xml><?xml version="1.0" encoding="utf-8"?>
<sst xmlns="http://schemas.openxmlformats.org/spreadsheetml/2006/main" count="1688" uniqueCount="788">
  <si>
    <t>Stakeholder Register</t>
  </si>
  <si>
    <t>Northbridge Digital Banking Platform Upgrade · PRJ-2026-0147</t>
  </si>
  <si>
    <t>ID</t>
  </si>
  <si>
    <t>Stakeholder (role)</t>
  </si>
  <si>
    <t>Org</t>
  </si>
  <si>
    <t>RACI</t>
  </si>
  <si>
    <t>What they need</t>
  </si>
  <si>
    <t>Power</t>
  </si>
  <si>
    <t>Interest</t>
  </si>
  <si>
    <t>Engagement approach</t>
  </si>
  <si>
    <t>SH-01</t>
  </si>
  <si>
    <t>VP Digital Banking (Sponsor)</t>
  </si>
  <si>
    <t>Northbridge</t>
  </si>
  <si>
    <t>A</t>
  </si>
  <si>
    <t>Confidence the platform lands on time and on budget</t>
  </si>
  <si>
    <t>High</t>
  </si>
  <si>
    <t>Weekly 1:1; approves CRs &gt;$25K; owns go/no-go</t>
  </si>
  <si>
    <t>SH-02</t>
  </si>
  <si>
    <t>Head of Retail Banking (Business Owner)</t>
  </si>
  <si>
    <t>Design sign-off; UAT acceptance</t>
  </si>
  <si>
    <t>Design &amp; UAT gates; monthly steering</t>
  </si>
  <si>
    <t>SH-03</t>
  </si>
  <si>
    <t>IT Delivery Lead</t>
  </si>
  <si>
    <t>R</t>
  </si>
  <si>
    <t>Build progress; environment readiness</t>
  </si>
  <si>
    <t>Medium</t>
  </si>
  <si>
    <t>Daily stand-up; weekly delivery review</t>
  </si>
  <si>
    <t>SH-04</t>
  </si>
  <si>
    <t>SI Partner Engagement Manager (Meridian)</t>
  </si>
  <si>
    <t>Meridian SI</t>
  </si>
  <si>
    <t>Clear scope; timely approvals; invoice sign-off</t>
  </si>
  <si>
    <t>Weekly delivery call; monthly commercial review</t>
  </si>
  <si>
    <t>SH-05</t>
  </si>
  <si>
    <t>Finance Business Partner</t>
  </si>
  <si>
    <t>C</t>
  </si>
  <si>
    <t>Accurate spend, accruals and forecast</t>
  </si>
  <si>
    <t>Monthly cost review; validates EAC before steering</t>
  </si>
  <si>
    <t>SH-06</t>
  </si>
  <si>
    <t>Risk &amp; Compliance (OSFI B-13)</t>
  </si>
  <si>
    <t>Evidence of technology-risk controls</t>
  </si>
  <si>
    <t>Gate reviews at design and pre-go-live</t>
  </si>
  <si>
    <t>SH-07</t>
  </si>
  <si>
    <t>Procurement</t>
  </si>
  <si>
    <t>PO compliance; no invoices without a PO</t>
  </si>
  <si>
    <t>Low</t>
  </si>
  <si>
    <t>Ad-hoc; receives the PO-compliance exception log</t>
  </si>
  <si>
    <t>SH-08</t>
  </si>
  <si>
    <t>PCO (Keshaav Gite)</t>
  </si>
  <si>
    <t>Runs schedule, cost, RAID, reporting</t>
  </si>
  <si>
    <t>—</t>
  </si>
  <si>
    <t>Owns the governance cadence</t>
  </si>
  <si>
    <t>Approved Budget — by cost category by month</t>
  </si>
  <si>
    <t>Baselined 2026-01-15. Figures in CAD. Total BAC $1,260,000.</t>
  </si>
  <si>
    <t>Cost Category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</si>
  <si>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</si>
  <si>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</si>
  <si>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</si>
  <si>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</si>
  <si>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</si>
  <si>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</si>
  <si>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</si>
  <si>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</si>
  <si>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</si>
  <si>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</si>
  <si>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</si>
  <si>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</si>
  <si>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Budget</t>
  </si>
  <si>
    <t>SI Partner Fees</t>
  </si>
  <si>
    <t>Internal Labour</t>
  </si>
  <si>
    <t>Contractor Labour</t>
  </si>
  <si>
    <t>Software Licences</t>
  </si>
  <si>
    <t>Hardware &amp; Infra</t>
  </si>
  <si>
    <t>Cloud / Hosting</t>
  </si>
  <si>
    <t>Training &amp; Change</t>
  </si>
  <si>
    <t>Travel</t>
  </si>
  <si>
    <t>Contingency</t>
  </si>
  <si>
    <t>TOTAL</t>
  </si>
  <si>
    <t>Cumulative Plan</t>
  </si>
  <si>
    <t>Actuals — Accounts Payable transaction export</t>
  </si>
  <si>
    <t>Source: Dynamics 365 Finance · AP vendor transactions · exported 2026-09-01</t>
  </si>
  <si>
    <t>Posting Date</t>
  </si>
  <si>
    <t>Voucher</t>
  </si>
  <si>
    <t>Vendor ID</t>
  </si>
  <si>
    <t>Vendor Name</t>
  </si>
  <si>
    <t>Invoice No</t>
  </si>
  <si>
    <t>PO Ref</t>
  </si>
  <si>
    <t>Description</t>
  </si>
  <si>
    <t>Amount</t>
  </si>
  <si>
    <t>Currency</t>
  </si>
  <si>
    <t>Status</t>
  </si>
  <si>
    <t>2026-04-19</t>
  </si>
  <si>
    <t>AP-500020</t>
  </si>
  <si>
    <t>V-10166</t>
  </si>
  <si>
    <t>Vantage Consulting Associates</t>
  </si>
  <si>
    <t>INV-8819</t>
  </si>
  <si>
    <t>PO-2026-1032</t>
  </si>
  <si>
    <t>Senior developer - monthly</t>
  </si>
  <si>
    <t>CAD</t>
  </si>
  <si>
    <t>Posted</t>
  </si>
  <si>
    <t>2026-08-28</t>
  </si>
  <si>
    <t>GJ-500110</t>
  </si>
  <si>
    <t>(Internal journal)</t>
  </si>
  <si>
    <t>Internal labour recharge - monthly</t>
  </si>
  <si>
    <t>2026-07-17</t>
  </si>
  <si>
    <t>AP-500084</t>
  </si>
  <si>
    <t>V-10133</t>
  </si>
  <si>
    <t>Keystone Training Partners</t>
  </si>
  <si>
    <t>INV-8883</t>
  </si>
  <si>
    <t>PO-2026-1017</t>
  </si>
  <si>
    <t>End-user training materials</t>
  </si>
  <si>
    <t>2026-01-24</t>
  </si>
  <si>
    <t>AP-500034</t>
  </si>
  <si>
    <t>V-10102</t>
  </si>
  <si>
    <t>Northgate Software Licensing</t>
  </si>
  <si>
    <t>INV-8833</t>
  </si>
  <si>
    <t>PO-2026-1062</t>
  </si>
  <si>
    <t>API gateway licence</t>
  </si>
  <si>
    <t>2026-07-11</t>
  </si>
  <si>
    <t>AP-500028</t>
  </si>
  <si>
    <t>V-10078</t>
  </si>
  <si>
    <t>Ironwood Contracting Group</t>
  </si>
  <si>
    <t>INV-8827</t>
  </si>
  <si>
    <t>PO-2026-1067</t>
  </si>
  <si>
    <t>Solution architect - part time</t>
  </si>
  <si>
    <t>AP-500099</t>
  </si>
  <si>
    <t>V-10150</t>
  </si>
  <si>
    <t>Harbourview Travel Management</t>
  </si>
  <si>
    <t>INV-8898</t>
  </si>
  <si>
    <t>PO-2026-1010</t>
  </si>
  <si>
    <t>Vendor site visit</t>
  </si>
  <si>
    <t>2026-03-13</t>
  </si>
  <si>
    <t>AP-500067</t>
  </si>
  <si>
    <t>V-10044</t>
  </si>
  <si>
    <t>Cascade Cloud Services Inc</t>
  </si>
  <si>
    <t>INV-8866</t>
  </si>
  <si>
    <t>PO-2026-1035</t>
  </si>
  <si>
    <t>Compute - monthly usage</t>
  </si>
  <si>
    <t>2026-04-18</t>
  </si>
  <si>
    <t>AP-500094</t>
  </si>
  <si>
    <t>INV-8893</t>
  </si>
  <si>
    <t>PO-2026-1028</t>
  </si>
  <si>
    <t>2026-04-12</t>
  </si>
  <si>
    <t>AP-500051</t>
  </si>
  <si>
    <t>V-10119</t>
  </si>
  <si>
    <t>Summit Hardware Solutions</t>
  </si>
  <si>
    <t>INV-8850</t>
  </si>
  <si>
    <t>PO-2026-1020</t>
  </si>
  <si>
    <t>Storage expansion</t>
  </si>
  <si>
    <t>2026-02-28</t>
  </si>
  <si>
    <t>GJ-500104</t>
  </si>
  <si>
    <t>2026-07-25</t>
  </si>
  <si>
    <t>AP-500012</t>
  </si>
  <si>
    <t>V-10021</t>
  </si>
  <si>
    <t>Meridian Systems Integration Ltd</t>
  </si>
  <si>
    <t>INV-8811</t>
  </si>
  <si>
    <t>PO-2026-1087</t>
  </si>
  <si>
    <t>Sprint delivery - milestone billing</t>
  </si>
  <si>
    <t>2026-03-25</t>
  </si>
  <si>
    <t>AP-500006</t>
  </si>
  <si>
    <t>INV-8805</t>
  </si>
  <si>
    <t>PO-2026-1054</t>
  </si>
  <si>
    <t>Integration build - phase billing</t>
  </si>
  <si>
    <t>2026-07-28</t>
  </si>
  <si>
    <t>GJ-500109</t>
  </si>
  <si>
    <t>2026-06-15</t>
  </si>
  <si>
    <t>AP-500098</t>
  </si>
  <si>
    <t>INV-8897</t>
  </si>
  <si>
    <t>PO-2026-1041</t>
  </si>
  <si>
    <t>Onsite integration workshop</t>
  </si>
  <si>
    <t>2026-05-20</t>
  </si>
  <si>
    <t>AP-500008</t>
  </si>
  <si>
    <t>INV-8807</t>
  </si>
  <si>
    <t>PO-2026-1015</t>
  </si>
  <si>
    <t>UAT support services</t>
  </si>
  <si>
    <t>2026-08-03</t>
  </si>
  <si>
    <t>AP-500102</t>
  </si>
  <si>
    <t>INV-8901</t>
  </si>
  <si>
    <t>PO-2026-1079</t>
  </si>
  <si>
    <t>2026-05-14</t>
  </si>
  <si>
    <t>AP-500115</t>
  </si>
  <si>
    <t>INV-8905</t>
  </si>
  <si>
    <t>PO-2026-1044</t>
  </si>
  <si>
    <t>US licence true-up (USD invoice)</t>
  </si>
  <si>
    <t>USD</t>
  </si>
  <si>
    <t>2026-02-20</t>
  </si>
  <si>
    <t>AP-500004</t>
  </si>
  <si>
    <t>INV-8803</t>
  </si>
  <si>
    <t>PO-2026-1025</t>
  </si>
  <si>
    <t>Cutover support</t>
  </si>
  <si>
    <t>2026-06-10</t>
  </si>
  <si>
    <t>AP-500083</t>
  </si>
  <si>
    <t>INV-8882</t>
  </si>
  <si>
    <t>PO-2026-1022</t>
  </si>
  <si>
    <t>Change readiness workshops</t>
  </si>
  <si>
    <t>2026-01-09</t>
  </si>
  <si>
    <t>AP-500016</t>
  </si>
  <si>
    <t>INV-8815</t>
  </si>
  <si>
    <t>PO-2026-1083</t>
  </si>
  <si>
    <t>2026-05-11</t>
  </si>
  <si>
    <t>AP-500054</t>
  </si>
  <si>
    <t>INV-8853</t>
  </si>
  <si>
    <t>PO-2026-1036</t>
  </si>
  <si>
    <t>Network switch upgrade</t>
  </si>
  <si>
    <t>2026-08-26</t>
  </si>
  <si>
    <t>AP-500114</t>
  </si>
  <si>
    <t>INV-8904</t>
  </si>
  <si>
    <t>PO-2026-1014</t>
  </si>
  <si>
    <t>Awaiting approval</t>
  </si>
  <si>
    <t>Pending</t>
  </si>
  <si>
    <t>2026-08-24</t>
  </si>
  <si>
    <t>AP-500029</t>
  </si>
  <si>
    <t>INV-8828</t>
  </si>
  <si>
    <t>Data migration specialist</t>
  </si>
  <si>
    <t>2026-06-11</t>
  </si>
  <si>
    <t>AP-500042</t>
  </si>
  <si>
    <t>INV-8841</t>
  </si>
  <si>
    <t>PO-2026-1058</t>
  </si>
  <si>
    <t>Monitoring suite subscription</t>
  </si>
  <si>
    <t>2026-01-10</t>
  </si>
  <si>
    <t>AP-500032</t>
  </si>
  <si>
    <t>INV-8831</t>
  </si>
  <si>
    <t>PO-2026-1008</t>
  </si>
  <si>
    <t>Core platform licence - annual</t>
  </si>
  <si>
    <t>2026-08-22</t>
  </si>
  <si>
    <t>AP-500062</t>
  </si>
  <si>
    <t>INV-8861</t>
  </si>
  <si>
    <t>PO-2026-1095</t>
  </si>
  <si>
    <t>AP-500053</t>
  </si>
  <si>
    <t>INV-8852</t>
  </si>
  <si>
    <t>Application server refresh</t>
  </si>
  <si>
    <t>2026-05-10</t>
  </si>
  <si>
    <t>AP-500079</t>
  </si>
  <si>
    <t>INV-8878</t>
  </si>
  <si>
    <t>Super-user training cohort</t>
  </si>
  <si>
    <t>2026-02-04</t>
  </si>
  <si>
    <t>AP-500065</t>
  </si>
  <si>
    <t>INV-8864</t>
  </si>
  <si>
    <t>PO-2026-1060</t>
  </si>
  <si>
    <t>Storage - monthly</t>
  </si>
  <si>
    <t>2026-06-06</t>
  </si>
  <si>
    <t>AP-500025</t>
  </si>
  <si>
    <t>INV-8824</t>
  </si>
  <si>
    <t>PO-2026-1046</t>
  </si>
  <si>
    <t>AP-500009</t>
  </si>
  <si>
    <t>INV-8808</t>
  </si>
  <si>
    <t>PO-2026-1037</t>
  </si>
  <si>
    <t>2026-05-28</t>
  </si>
  <si>
    <t>GJ-500107</t>
  </si>
  <si>
    <t>AP-500014</t>
  </si>
  <si>
    <t>INV-8813</t>
  </si>
  <si>
    <t>2026-02-09</t>
  </si>
  <si>
    <t>AP-500035</t>
  </si>
  <si>
    <t>INV-8834</t>
  </si>
  <si>
    <t>PO-2026-1012</t>
  </si>
  <si>
    <t>AP-500002</t>
  </si>
  <si>
    <t>INV-8801</t>
  </si>
  <si>
    <t>2026-02-26</t>
  </si>
  <si>
    <t>AP-500037</t>
  </si>
  <si>
    <t>INV-8836</t>
  </si>
  <si>
    <t>PO-2026-1006</t>
  </si>
  <si>
    <t>2026-03-16</t>
  </si>
  <si>
    <t>AP-500039</t>
  </si>
  <si>
    <t>INV-8838</t>
  </si>
  <si>
    <t>PO-2026-1023</t>
  </si>
  <si>
    <t>AP-500059</t>
  </si>
  <si>
    <t>INV-8858</t>
  </si>
  <si>
    <t>PO-2026-1019</t>
  </si>
  <si>
    <t>2026-08-20</t>
  </si>
  <si>
    <t>AP-500085</t>
  </si>
  <si>
    <t>INV-8884</t>
  </si>
  <si>
    <t>PO-2026-1057</t>
  </si>
  <si>
    <t>2026-02-14</t>
  </si>
  <si>
    <t>AP-500018</t>
  </si>
  <si>
    <t>INV-8817</t>
  </si>
  <si>
    <t>QA analyst - monthly</t>
  </si>
  <si>
    <t>2026-06-14</t>
  </si>
  <si>
    <t>AP-500072</t>
  </si>
  <si>
    <t>INV-8871</t>
  </si>
  <si>
    <t>PO-2026-1055</t>
  </si>
  <si>
    <t>2026-03-27</t>
  </si>
  <si>
    <t>AP-500092</t>
  </si>
  <si>
    <t>INV-8891</t>
  </si>
  <si>
    <t>PO-2026-1073</t>
  </si>
  <si>
    <t>AP-500047</t>
  </si>
  <si>
    <t>INV-8846</t>
  </si>
  <si>
    <t>Load balancer appliance</t>
  </si>
  <si>
    <t>2026-07-20</t>
  </si>
  <si>
    <t>AP-500013</t>
  </si>
  <si>
    <t>INV-8812</t>
  </si>
  <si>
    <t>PO-2026-1093</t>
  </si>
  <si>
    <t>Design workshop facilitation</t>
  </si>
  <si>
    <t>AP-500113</t>
  </si>
  <si>
    <t>INV-8903</t>
  </si>
  <si>
    <t>PO-2026-1091</t>
  </si>
  <si>
    <t>2026-06-17</t>
  </si>
  <si>
    <t>AP-500097</t>
  </si>
  <si>
    <t>INV-8896</t>
  </si>
  <si>
    <t>2026-05-17</t>
  </si>
  <si>
    <t>AP-500081</t>
  </si>
  <si>
    <t>INV-8880</t>
  </si>
  <si>
    <t>PO-2026-1053</t>
  </si>
  <si>
    <t>2026-05-19</t>
  </si>
  <si>
    <t>AP-500023</t>
  </si>
  <si>
    <t>INV-8822</t>
  </si>
  <si>
    <t>PO-2026-1013</t>
  </si>
  <si>
    <t>2026-06-04</t>
  </si>
  <si>
    <t>AP-500026</t>
  </si>
  <si>
    <t>INV-8825</t>
  </si>
  <si>
    <t>PO-2026-1030</t>
  </si>
  <si>
    <t>2026-07-04</t>
  </si>
  <si>
    <t>AP-500044</t>
  </si>
  <si>
    <t>INV-8843</t>
  </si>
  <si>
    <t>Test automation licence</t>
  </si>
  <si>
    <t>2026-06-28</t>
  </si>
  <si>
    <t>GJ-500108</t>
  </si>
  <si>
    <t>2026-03-09</t>
  </si>
  <si>
    <t>AP-500038</t>
  </si>
  <si>
    <t>INV-8837</t>
  </si>
  <si>
    <t>PO-2026-1068</t>
  </si>
  <si>
    <t>2026-08-10</t>
  </si>
  <si>
    <t>AP-500031</t>
  </si>
  <si>
    <t>INV-8830</t>
  </si>
  <si>
    <t>2026-03-28</t>
  </si>
  <si>
    <t>GJ-500105</t>
  </si>
  <si>
    <t>2026-04-21</t>
  </si>
  <si>
    <t>AP-500069</t>
  </si>
  <si>
    <t>INV-8868</t>
  </si>
  <si>
    <t>PO-2026-1033</t>
  </si>
  <si>
    <t>2026-08-19</t>
  </si>
  <si>
    <t>AP-500030</t>
  </si>
  <si>
    <t>INV-8829</t>
  </si>
  <si>
    <t>AP-500058</t>
  </si>
  <si>
    <t>INV-8857</t>
  </si>
  <si>
    <t>PO-2026-1001</t>
  </si>
  <si>
    <t>2026-03-07</t>
  </si>
  <si>
    <t>AP-500019</t>
  </si>
  <si>
    <t>INV-8818</t>
  </si>
  <si>
    <t>PO-2026-1080</t>
  </si>
  <si>
    <t>2026-01-28</t>
  </si>
  <si>
    <t>GJ-500103</t>
  </si>
  <si>
    <t>2026-05-21</t>
  </si>
  <si>
    <t>AP-500071</t>
  </si>
  <si>
    <t>INV-8870</t>
  </si>
  <si>
    <t>PO-2026-1024</t>
  </si>
  <si>
    <t>Non-prod environment hosting</t>
  </si>
  <si>
    <t>2026-05-04</t>
  </si>
  <si>
    <t>AP-500080</t>
  </si>
  <si>
    <t>INV-8879</t>
  </si>
  <si>
    <t>PO-2026-1031</t>
  </si>
  <si>
    <t>2026-05-26</t>
  </si>
  <si>
    <t>AP-500095</t>
  </si>
  <si>
    <t>INV-8894</t>
  </si>
  <si>
    <t>PO-2026-1021</t>
  </si>
  <si>
    <t>2026-08-17</t>
  </si>
  <si>
    <t>AP-500086</t>
  </si>
  <si>
    <t>INV-8885</t>
  </si>
  <si>
    <t>AP-500043</t>
  </si>
  <si>
    <t>INV-8842</t>
  </si>
  <si>
    <t>PO-2026-1074</t>
  </si>
  <si>
    <t>2026-08-27</t>
  </si>
  <si>
    <t>AP-500087</t>
  </si>
  <si>
    <t>INV-8886</t>
  </si>
  <si>
    <t>PO-2026-1099</t>
  </si>
  <si>
    <t>2026-06-22</t>
  </si>
  <si>
    <t>AP-500073</t>
  </si>
  <si>
    <t>INV-8872</t>
  </si>
  <si>
    <t>PO-2026-1040</t>
  </si>
  <si>
    <t>AP-500061</t>
  </si>
  <si>
    <t>INV-8860</t>
  </si>
  <si>
    <t>2026-01-16</t>
  </si>
  <si>
    <t>AP-500063</t>
  </si>
  <si>
    <t>INV-8862</t>
  </si>
  <si>
    <t>PO-2026-1003</t>
  </si>
  <si>
    <t>AP-500036</t>
  </si>
  <si>
    <t>INV-8835</t>
  </si>
  <si>
    <t>2026-04-03</t>
  </si>
  <si>
    <t>AP-500068</t>
  </si>
  <si>
    <t>INV-8867</t>
  </si>
  <si>
    <t>AP-500024</t>
  </si>
  <si>
    <t>INV-8823</t>
  </si>
  <si>
    <t>2026-07-26</t>
  </si>
  <si>
    <t>AP-500100</t>
  </si>
  <si>
    <t>INV-8899</t>
  </si>
  <si>
    <t>PO-2026-1069</t>
  </si>
  <si>
    <t>2026-04-24</t>
  </si>
  <si>
    <t>AP-500021</t>
  </si>
  <si>
    <t>INV-8820</t>
  </si>
  <si>
    <t>2026-08-04</t>
  </si>
  <si>
    <t>AP-500060</t>
  </si>
  <si>
    <t>INV-8859</t>
  </si>
  <si>
    <t>PO-2026-1045</t>
  </si>
  <si>
    <t>2026-02-10</t>
  </si>
  <si>
    <t>AP-500048</t>
  </si>
  <si>
    <t>INV-8847</t>
  </si>
  <si>
    <t>2026-06-03</t>
  </si>
  <si>
    <t>AP-500057</t>
  </si>
  <si>
    <t>INV-8856</t>
  </si>
  <si>
    <t>PO-2026-1042</t>
  </si>
  <si>
    <t>2026-06-05</t>
  </si>
  <si>
    <t>AP-500096</t>
  </si>
  <si>
    <t>INV-8895</t>
  </si>
  <si>
    <t>PO-2026-1082</t>
  </si>
  <si>
    <t>2026-02-11</t>
  </si>
  <si>
    <t>AP-500064</t>
  </si>
  <si>
    <t>INV-8863</t>
  </si>
  <si>
    <t>2026-05-09</t>
  </si>
  <si>
    <t>AP-500055</t>
  </si>
  <si>
    <t>INV-8854</t>
  </si>
  <si>
    <t>AP-500003</t>
  </si>
  <si>
    <t>INV-8802</t>
  </si>
  <si>
    <t>PO-2026-1064</t>
  </si>
  <si>
    <t>AP-500045</t>
  </si>
  <si>
    <t>INV-8844</t>
  </si>
  <si>
    <t>PO-2026-1065</t>
  </si>
  <si>
    <t>2026-03-10</t>
  </si>
  <si>
    <t>AP-500066</t>
  </si>
  <si>
    <t>INV-8865</t>
  </si>
  <si>
    <t>2026-06-24</t>
  </si>
  <si>
    <t>AP-500010</t>
  </si>
  <si>
    <t>INV-8809</t>
  </si>
  <si>
    <t>PO-2026-1029</t>
  </si>
  <si>
    <t>2026-03-03</t>
  </si>
  <si>
    <t>AP-500049</t>
  </si>
  <si>
    <t>INV-8848</t>
  </si>
  <si>
    <t>2026-06-23</t>
  </si>
  <si>
    <t>AP-500056</t>
  </si>
  <si>
    <t>INV-8855</t>
  </si>
  <si>
    <t>2026-05-22</t>
  </si>
  <si>
    <t>AP-500070</t>
  </si>
  <si>
    <t>INV-8869</t>
  </si>
  <si>
    <t>2026-08-15</t>
  </si>
  <si>
    <t>AP-500046</t>
  </si>
  <si>
    <t>INV-8845</t>
  </si>
  <si>
    <t>2026-04-06</t>
  </si>
  <si>
    <t>AP-500007</t>
  </si>
  <si>
    <t>INV-8806</t>
  </si>
  <si>
    <t>PO-2026-1011</t>
  </si>
  <si>
    <t>2026-07-15</t>
  </si>
  <si>
    <t>AP-500074</t>
  </si>
  <si>
    <t>INV-8873</t>
  </si>
  <si>
    <t>PO-2026-1089</t>
  </si>
  <si>
    <t>AP-500017</t>
  </si>
  <si>
    <t>INV-8816</t>
  </si>
  <si>
    <t>AP-500078</t>
  </si>
  <si>
    <t>INV-8877</t>
  </si>
  <si>
    <t>AP-500089</t>
  </si>
  <si>
    <t>INV-8888</t>
  </si>
  <si>
    <t>PO-2026-1049</t>
  </si>
  <si>
    <t>Steering committee travel</t>
  </si>
  <si>
    <t>2026-04-04</t>
  </si>
  <si>
    <t>AP-500040</t>
  </si>
  <si>
    <t>INV-8839</t>
  </si>
  <si>
    <t>AP-500091</t>
  </si>
  <si>
    <t>INV-8890</t>
  </si>
  <si>
    <t>AP-500111</t>
  </si>
  <si>
    <t>2026-01-05</t>
  </si>
  <si>
    <t>AP-500033</t>
  </si>
  <si>
    <t>INV-8832</t>
  </si>
  <si>
    <t>2026-06-27</t>
  </si>
  <si>
    <t>AP-500082</t>
  </si>
  <si>
    <t>INV-8881</t>
  </si>
  <si>
    <t>PO-2026-1098</t>
  </si>
  <si>
    <t>2026-02-25</t>
  </si>
  <si>
    <t>AP-500090</t>
  </si>
  <si>
    <t>INV-8889</t>
  </si>
  <si>
    <t>PO-2026-1027</t>
  </si>
  <si>
    <t>AP-500077</t>
  </si>
  <si>
    <t>INV-8876</t>
  </si>
  <si>
    <t>AP-500011</t>
  </si>
  <si>
    <t>INV-8810</t>
  </si>
  <si>
    <t>2026-07-07</t>
  </si>
  <si>
    <t>AP-500027</t>
  </si>
  <si>
    <t>INV-8826</t>
  </si>
  <si>
    <t>PO-2026-1084</t>
  </si>
  <si>
    <t>2026-04-20</t>
  </si>
  <si>
    <t>AP-500093</t>
  </si>
  <si>
    <t>INV-8892</t>
  </si>
  <si>
    <t>2026-04-22</t>
  </si>
  <si>
    <t>AP-500052</t>
  </si>
  <si>
    <t>INV-8851</t>
  </si>
  <si>
    <t>2026-03-20</t>
  </si>
  <si>
    <t>AP-500050</t>
  </si>
  <si>
    <t>INV-8849</t>
  </si>
  <si>
    <t>2026-01-25</t>
  </si>
  <si>
    <t>AP-500088</t>
  </si>
  <si>
    <t>INV-8887</t>
  </si>
  <si>
    <t>2026-07-09</t>
  </si>
  <si>
    <t>AP-500075</t>
  </si>
  <si>
    <t>INV-8874</t>
  </si>
  <si>
    <t>Data egress charges</t>
  </si>
  <si>
    <t>2026-06-18</t>
  </si>
  <si>
    <t>AP-500112</t>
  </si>
  <si>
    <t>CN-8902</t>
  </si>
  <si>
    <t>Credit note - overbilled sprint 4</t>
  </si>
  <si>
    <t>AP-500005</t>
  </si>
  <si>
    <t>INV-8804</t>
  </si>
  <si>
    <t>AP-500076</t>
  </si>
  <si>
    <t>INV-8875</t>
  </si>
  <si>
    <t>PO-2026-1070</t>
  </si>
  <si>
    <t>AP-500015</t>
  </si>
  <si>
    <t>INV-8814</t>
  </si>
  <si>
    <t>2026-05-18</t>
  </si>
  <si>
    <t>AP-500041</t>
  </si>
  <si>
    <t>INV-8840</t>
  </si>
  <si>
    <t>2026-05-03</t>
  </si>
  <si>
    <t>AP-500022</t>
  </si>
  <si>
    <t>INV-8821</t>
  </si>
  <si>
    <t>PO-2026-1092</t>
  </si>
  <si>
    <t>2026-04-28</t>
  </si>
  <si>
    <t>GJ-500106</t>
  </si>
  <si>
    <t>AP-500101</t>
  </si>
  <si>
    <t>INV-8900</t>
  </si>
  <si>
    <t>Committed Costs — open purchase orders</t>
  </si>
  <si>
    <t>POs raised, goods/services not yet invoiced. THIS is what juniors forget.</t>
  </si>
  <si>
    <t>PO Number</t>
  </si>
  <si>
    <t>Committed Amount</t>
  </si>
  <si>
    <t>Expected Delivery</t>
  </si>
  <si>
    <t>PO-2026-1088</t>
  </si>
  <si>
    <t>Sprint 9-10 delivery</t>
  </si>
  <si>
    <t>2026-09-30</t>
  </si>
  <si>
    <t>Open</t>
  </si>
  <si>
    <t>Sep-Nov contractor extension</t>
  </si>
  <si>
    <t>2026-11-30</t>
  </si>
  <si>
    <t>PO-2026-1094</t>
  </si>
  <si>
    <t>Production licence uplift</t>
  </si>
  <si>
    <t>2026-10-15</t>
  </si>
  <si>
    <t>PO-2026-1096</t>
  </si>
  <si>
    <t>End-user training delivery</t>
  </si>
  <si>
    <t>2026-10-31</t>
  </si>
  <si>
    <t>Prod environment - Sep to Dec</t>
  </si>
  <si>
    <t>2026-12-31</t>
  </si>
  <si>
    <t>TOTAL COMMITTED</t>
  </si>
  <si>
    <t>Cost Control Dashboard — Budget · Actual · Committed · EAC</t>
  </si>
  <si>
    <t>Period ending 31 Aug 2026 (Month 8 of 12). FX: USD invoices converted @1.36.</t>
  </si>
  <si>
    <t>Budget (BAC)</t>
  </si>
  <si>
    <t>YTD Budget</t>
  </si>
  <si>
    <t>Actual (posted)</t>
  </si>
  <si>
    <t>Committed (PO)</t>
  </si>
  <si>
    <t>Est. to Complete</t>
  </si>
  <si>
    <t>Forecast (EAC)</t>
  </si>
  <si>
    <t>Variance at Completion</t>
  </si>
  <si>
    <t>Var %</t>
  </si>
  <si>
    <t>HEADLINE</t>
  </si>
  <si>
    <t>Budget at Completion (BAC)</t>
  </si>
  <si>
    <t>Actual to date (posted)</t>
  </si>
  <si>
    <t>% of budget spent</t>
  </si>
  <si>
    <t>YTD variance (Actual vs YTD Budget)</t>
  </si>
  <si>
    <t>Committed (open POs)</t>
  </si>
  <si>
    <t>Unposted invoices (pending)</t>
  </si>
  <si>
    <t>Forecast at Completion (EAC)</t>
  </si>
  <si>
    <t>VARIANCE AT COMPLETION</t>
  </si>
  <si>
    <t>Contingency remaining</t>
  </si>
  <si>
    <t>COST RAG</t>
  </si>
  <si>
    <t>S-Curve data (cumulative)</t>
  </si>
  <si>
    <t>Month</t>
  </si>
  <si>
    <t>Cumulative Actual</t>
  </si>
  <si>
    <t>RAID Log</t>
  </si>
  <si>
    <t>Risks · Assumptions · Issues · Dependencies. Reviewed weekly; High items escalated to steering.</t>
  </si>
  <si>
    <t>Type</t>
  </si>
  <si>
    <t>Owner</t>
  </si>
  <si>
    <t>Impact</t>
  </si>
  <si>
    <t>Mitigation / Response</t>
  </si>
  <si>
    <t>Raised</t>
  </si>
  <si>
    <t>I-001</t>
  </si>
  <si>
    <t>Issue</t>
  </si>
  <si>
    <t>Contractor Labour is tracking 22% over plan ($179.5K actual vs $144K YTD budget). Forecast to land $64K over at completion.</t>
  </si>
  <si>
    <t>Root cause: two extra contractors onboarded in Mar to recover the integration build. CR-003 raised to draw down contingency. Rate card renegotiation underway.</t>
  </si>
  <si>
    <t>2026-06-12</t>
  </si>
  <si>
    <t>I-002</t>
  </si>
  <si>
    <t>Duplicate invoice detected in the D365 AP export — same invoice number posted against two vouchers.</t>
  </si>
  <si>
    <t>Flagged to AP; credit/reversal requested. Excluded from the EAC pending correction. Root cause: manual re-key after a failed batch.</t>
  </si>
  <si>
    <t>2026-08-14</t>
  </si>
  <si>
    <t>I-003</t>
  </si>
  <si>
    <t>One hardware invoice posted with NO PO reference — breaches procurement policy (no-PO-no-pay).</t>
  </si>
  <si>
    <t>Retrospective PO raised; exception logged. Control added: monthly PO-compliance check on the AP export.</t>
  </si>
  <si>
    <t>2026-07-22</t>
  </si>
  <si>
    <t>I-004</t>
  </si>
  <si>
    <t>Two vendor invoices ($28.2K) remain unposted/pending approval at month-end — understating reported actuals.</t>
  </si>
  <si>
    <t>Tracked separately on the dashboard; will be accrued into the August position so the month is not understated.</t>
  </si>
  <si>
    <t>2026-08-29</t>
  </si>
  <si>
    <t>R-001</t>
  </si>
  <si>
    <t>Risk</t>
  </si>
  <si>
    <t>SI partner (Meridian) has slipped delivery on two prior engagements. Sprint 9-10 ($78K PO) is on the critical path to UAT.</t>
  </si>
  <si>
    <t>SI Engagement Mgr</t>
  </si>
  <si>
    <t>Milestone-based billing with 10% holdback; weekly delivery call; recovery plan required if any sprint slips &gt;3 days.</t>
  </si>
  <si>
    <t>R-002</t>
  </si>
  <si>
    <t>UAT window (Oct) overlaps with the retail quarter-end close — business testers may be unavailable.</t>
  </si>
  <si>
    <t>Business Owner</t>
  </si>
  <si>
    <t>Testers pre-booked; backup super-users identified; CR-004 requests a 2-week UAT extension.</t>
  </si>
  <si>
    <t>Mitigated</t>
  </si>
  <si>
    <t>R-003</t>
  </si>
  <si>
    <t>USD-denominated licence invoices expose the project to FX movement (currently ~$14.9K USD posted).</t>
  </si>
  <si>
    <t>FX rate fixed at 1.36 for forecasting; exposure is immaterial (&lt;2% of budget). Monitor quarterly.</t>
  </si>
  <si>
    <t>R-004</t>
  </si>
  <si>
    <t>Contingency ($68K) may be exhausted by the contractor overrun, leaving no buffer for cutover issues.</t>
  </si>
  <si>
    <t>PCO</t>
  </si>
  <si>
    <t>Contingency drawdown tracked; $44.9K remains. No further drawdown without sponsor approval (per CR governance).</t>
  </si>
  <si>
    <t>2026-08-01</t>
  </si>
  <si>
    <t>A-001</t>
  </si>
  <si>
    <t>Assumption</t>
  </si>
  <si>
    <t>Business testers are available for the full UAT window outside quarter-end.</t>
  </si>
  <si>
    <t>Confirmed at kickoff; being re-tested — see R-002. If it fails, the go-live date moves.</t>
  </si>
  <si>
    <t>2026-01-15</t>
  </si>
  <si>
    <t>A-002</t>
  </si>
  <si>
    <t>No further regulatory (OSFI B-13) requirements land before go-live.</t>
  </si>
  <si>
    <t>Risk &amp; Compliance</t>
  </si>
  <si>
    <t>Confirmed with Risk &amp; Compliance at the design gate. Re-verified quarterly.</t>
  </si>
  <si>
    <t>D-001</t>
  </si>
  <si>
    <t>Dependency</t>
  </si>
  <si>
    <t>GL opening-balance load depends on Finance closing the FY25 books.</t>
  </si>
  <si>
    <t>Confirmed complete 2026-03-20. Load proceeded on schedule.</t>
  </si>
  <si>
    <t>Closed</t>
  </si>
  <si>
    <t>2026-01-20</t>
  </si>
  <si>
    <t>D-002</t>
  </si>
  <si>
    <t>Production cutover depends on the Infrastructure team completing the network upgrade.</t>
  </si>
  <si>
    <t>Scheduled for Oct; tracked on the schedule as a hard predecessor to cutover.</t>
  </si>
  <si>
    <t>2026-04-02</t>
  </si>
  <si>
    <t>Change Control Log</t>
  </si>
  <si>
    <t>Every change to baselined scope, cost or schedule. Sponsor approves &gt;$25K.</t>
  </si>
  <si>
    <t>CR ID</t>
  </si>
  <si>
    <t>Change requested</t>
  </si>
  <si>
    <t>Raised by</t>
  </si>
  <si>
    <t>Cost impact</t>
  </si>
  <si>
    <t>Sched.</t>
  </si>
  <si>
    <t>Priority</t>
  </si>
  <si>
    <t>Approver</t>
  </si>
  <si>
    <t>Decided</t>
  </si>
  <si>
    <t>Rationale / decision note</t>
  </si>
  <si>
    <t>CR-001</t>
  </si>
  <si>
    <t>Add real-time payment notifications to scope</t>
  </si>
  <si>
    <t>+$46,000</t>
  </si>
  <si>
    <t>+10d</t>
  </si>
  <si>
    <t>Approved</t>
  </si>
  <si>
    <t>VP Digital Banking</t>
  </si>
  <si>
    <t>2026-03-06</t>
  </si>
  <si>
    <t>Competitive necessity. Funded from contingency; sponsor approved at March steering.</t>
  </si>
  <si>
    <t>CR-002</t>
  </si>
  <si>
    <t>Defer wealth-module integration to Phase 2</t>
  </si>
  <si>
    <t>-$38,000</t>
  </si>
  <si>
    <t>-15d</t>
  </si>
  <si>
    <t>2026-04-17</t>
  </si>
  <si>
    <t>De-scoped to protect the go-live date. Credit returned to contingency.</t>
  </si>
  <si>
    <t>CR-003</t>
  </si>
  <si>
    <t>Draw down $64K contingency to cover contractor overrun</t>
  </si>
  <si>
    <t>$0 (net)</t>
  </si>
  <si>
    <t>0</t>
  </si>
  <si>
    <t>Contingency exists for exactly this. Rate renegotiation to prevent recurrence. Links to I-001.</t>
  </si>
  <si>
    <t>CR-004</t>
  </si>
  <si>
    <t>Extend UAT window by 2 weeks (quarter-end clash)</t>
  </si>
  <si>
    <t>+$12,000</t>
  </si>
  <si>
    <t>Under Review</t>
  </si>
  <si>
    <t>Protects test quality over the date. Links to R-002. Decision due at Sept steering.</t>
  </si>
  <si>
    <t>CR-005</t>
  </si>
  <si>
    <t>Upgrade to premium support tier for hypercare</t>
  </si>
  <si>
    <t>+$28,000</t>
  </si>
  <si>
    <t>REJECTED</t>
  </si>
  <si>
    <t>2026-07-30</t>
  </si>
  <si>
    <t>Standard support is contractually sufficient for a 2-week hypercare. Not justified.</t>
  </si>
  <si>
    <t>CR-006</t>
  </si>
  <si>
    <t>Add OSFI B-13 evidence pack to deliverables</t>
  </si>
  <si>
    <t>+$8,500</t>
  </si>
  <si>
    <t>+3d</t>
  </si>
  <si>
    <t>Regulatory — non-negotiable. Absorbed within contingency.</t>
  </si>
  <si>
    <t>Action Item Register</t>
  </si>
  <si>
    <t>Every action traces to a RAID or CR ID.</t>
  </si>
  <si>
    <t>Action</t>
  </si>
  <si>
    <t>Ref (RAID/CR)</t>
  </si>
  <si>
    <t>Due</t>
  </si>
  <si>
    <t>Notes</t>
  </si>
  <si>
    <t>AI-001</t>
  </si>
  <si>
    <t>Renegotiate contractor rate card with Ironwood</t>
  </si>
  <si>
    <t>2026-09-15</t>
  </si>
  <si>
    <t>In Progress</t>
  </si>
  <si>
    <t>Draft terms received; 8% reduction offered.</t>
  </si>
  <si>
    <t>AI-002</t>
  </si>
  <si>
    <t>Obtain credit note for the duplicate invoice</t>
  </si>
  <si>
    <t>2026-09-10</t>
  </si>
  <si>
    <t>Vendor acknowledged; credit expected in Sept.</t>
  </si>
  <si>
    <t>AI-003</t>
  </si>
  <si>
    <t>Raise retrospective PO for the no-PO hardware invoice</t>
  </si>
  <si>
    <t>2026-08-05</t>
  </si>
  <si>
    <t>PO-2026-1087 raised; exception logged.</t>
  </si>
  <si>
    <t>AI-004</t>
  </si>
  <si>
    <t>Add monthly PO-compliance check to the cost process</t>
  </si>
  <si>
    <t>2026-08-31</t>
  </si>
  <si>
    <t>Control added to the month-end checklist.</t>
  </si>
  <si>
    <t>AI-005</t>
  </si>
  <si>
    <t>Accrue the two pending invoices into the August position</t>
  </si>
  <si>
    <t>2026-09-05</t>
  </si>
  <si>
    <t>$28.2K to be accrued so August is not understated.</t>
  </si>
  <si>
    <t>AI-006</t>
  </si>
  <si>
    <t>Confirm UAT tester availability against quarter-end</t>
  </si>
  <si>
    <t>R-002/A-001</t>
  </si>
  <si>
    <t>2026-09-12</t>
  </si>
  <si>
    <t>Drives the CR-004 decision at Sept steering.</t>
  </si>
  <si>
    <t>AI-007</t>
  </si>
  <si>
    <t>Prepare contingency drawdown paper for sponsor</t>
  </si>
  <si>
    <t>I-001/CR-003</t>
  </si>
  <si>
    <t>2026-08-18</t>
  </si>
  <si>
    <t>Approved at August steering.</t>
  </si>
  <si>
    <t>AI-008</t>
  </si>
  <si>
    <t>Confirm network upgrade completion date with Infrastructure</t>
  </si>
  <si>
    <t>Hard predecessor to cutover.</t>
  </si>
  <si>
    <t>Decision Log</t>
  </si>
  <si>
    <t>What was decided, by whom, and WHY — so nobody re-litigates it in month nine.</t>
  </si>
  <si>
    <t>Date</t>
  </si>
  <si>
    <t>Decision</t>
  </si>
  <si>
    <t>Decided by</t>
  </si>
  <si>
    <t>Rationale</t>
  </si>
  <si>
    <t>DEC-01</t>
  </si>
  <si>
    <t>Add real-time payment notifications (CR-001), funded from contingency.</t>
  </si>
  <si>
    <t>Competitors launched the feature; going live without it would require an immediate follow-up release. Cheaper to absorb now.</t>
  </si>
  <si>
    <t>DEC-02</t>
  </si>
  <si>
    <t>Defer the wealth module to Phase 2 (CR-002).</t>
  </si>
  <si>
    <t>Protects the go-live date. The module serves 4% of customers; the delay is acceptable to the business.</t>
  </si>
  <si>
    <t>DEC-03</t>
  </si>
  <si>
    <t>Draw down $64K contingency to cover the contractor overrun (CR-003).</t>
  </si>
  <si>
    <t>Contingency exists for exactly this. The alternative — cutting scope late — carries more risk than the cost.</t>
  </si>
  <si>
    <t>DEC-04</t>
  </si>
  <si>
    <t>Reject the premium support upgrade (CR-005).</t>
  </si>
  <si>
    <t>Standard support is contractually sufficient for a 2-week hypercare. Not justified on evidence.</t>
  </si>
  <si>
    <t>DEC-05</t>
  </si>
  <si>
    <t>Report the project AMBER on cost despite a near-zero YTD variance.</t>
  </si>
  <si>
    <t>PCO / Sponsor</t>
  </si>
  <si>
    <t>YTD actuals look on-plan, but adding $214.6K of committed POs forecasts a $31K overrun. Reporting Green on YTD alone would have been misleading.</t>
  </si>
  <si>
    <t>Milestone Tracker</t>
  </si>
  <si>
    <t>Baseline vs Forecast vs Actual. Slippage in working days. Source: MS Project schedule.</t>
  </si>
  <si>
    <t>Milestone</t>
  </si>
  <si>
    <t>Baseline</t>
  </si>
  <si>
    <t>Forecast</t>
  </si>
  <si>
    <t>Actual</t>
  </si>
  <si>
    <t>Slip (days)</t>
  </si>
  <si>
    <t>M1</t>
  </si>
  <si>
    <t>Project approved &amp; funded</t>
  </si>
  <si>
    <t>Met</t>
  </si>
  <si>
    <t>M2</t>
  </si>
  <si>
    <t>Design baselined</t>
  </si>
  <si>
    <t>2026-03-12</t>
  </si>
  <si>
    <t>2026-03-18</t>
  </si>
  <si>
    <t>Met (late)</t>
  </si>
  <si>
    <t>M3</t>
  </si>
  <si>
    <t>Build complete</t>
  </si>
  <si>
    <t>2026-07-16</t>
  </si>
  <si>
    <t>M4</t>
  </si>
  <si>
    <t>UAT signed off</t>
  </si>
  <si>
    <t>2026-10-29</t>
  </si>
  <si>
    <t>At Risk</t>
  </si>
  <si>
    <t>M5</t>
  </si>
  <si>
    <t>GO-LIVE</t>
  </si>
  <si>
    <t>2026-11-05</t>
  </si>
  <si>
    <t>2026-11-19</t>
  </si>
  <si>
    <t>M6</t>
  </si>
  <si>
    <t>Project closed</t>
  </si>
  <si>
    <t>2026-11-26</t>
  </si>
  <si>
    <t>2026-12-10</t>
  </si>
  <si>
    <t>Note: the 10-day slip on M4-M6 is driven by CR-004 (UAT extension, under review). If CR-004 is approved, these become the new baseline.</t>
  </si>
  <si>
    <t>Status Report — Period ending 31 Aug 2026</t>
  </si>
  <si>
    <t>Northbridge Digital Banking Platform Upgrade · PRJ-2026-0147 · Month 8 of 12 · For September Steering Committee</t>
  </si>
  <si>
    <t>Overall</t>
  </si>
  <si>
    <t>AMBER</t>
  </si>
  <si>
    <t>Schedule</t>
  </si>
  <si>
    <t>Cost</t>
  </si>
  <si>
    <t>Scope</t>
  </si>
  <si>
    <t>GREEN</t>
  </si>
  <si>
    <t>Quality</t>
  </si>
  <si>
    <t>Cost Amber: YTD spend is on plan, but $214.6K of committed POs forecasts a $31.5K overrun at completion. Contingency covers it — see CR-003.</t>
  </si>
  <si>
    <t>Schedule Amber: 10-day forecast slip to go-live, driven by the UAT window clash with quarter-end (R-002 / CR-004, under review).</t>
  </si>
  <si>
    <t>Cost position</t>
  </si>
  <si>
    <t>• Budget (BAC) $1,260,000 · Actual to date $900,691 (71.5% spent) · Committed $214,600 · Forecast (EAC) $1,291,461.</t>
  </si>
  <si>
    <t>• YTD variance is effectively nil (-0.1%) — but that is not the story. Adding committed POs, the project forecasts $31,461 OVER budget (-2.5%).</t>
  </si>
  <si>
    <t>• Driver: Contractor Labour, 22% over plan (I-001) — two extra contractors onboarded in March to recover the integration build.</t>
  </si>
  <si>
    <t>• Contingency of $44,880 remains after the CR-003 drawdown — sufficient to absorb the overrun. No additional funding requested.</t>
  </si>
  <si>
    <t>Accomplished this period</t>
  </si>
  <si>
    <t>• Build complete (M3) — 5 days late, absorbed without impacting UAT start.</t>
  </si>
  <si>
    <t>• Vendor master, open AP and GL opening balances migrated and reconciled.</t>
  </si>
  <si>
    <t>• CR-003 (contingency drawdown) approved at August steering; contractor rate renegotiation underway (AI-001).</t>
  </si>
  <si>
    <t>Planned next period</t>
  </si>
  <si>
    <t>• UAT preparation and test-case sign-off; decision on CR-004 (UAT extension) at September steering.</t>
  </si>
  <si>
    <t>• Close the duplicate-invoice credit (I-002) and accrue the two pending invoices (I-004).</t>
  </si>
  <si>
    <t>• Confirm the network upgrade date with Infrastructure (D-002) — hard predecessor to cutover.</t>
  </si>
  <si>
    <t>Decisions required from Steering</t>
  </si>
  <si>
    <t>• APPROVE CR-004: extend UAT by 2 weeks to avoid the quarter-end clash. Cost +$12K, go-live moves 10 working days.</t>
  </si>
  <si>
    <t>• RECOMMENDATION: approve. Compressing UAT to hold the date would trade a 2-week delay for a live defect in a payment system.</t>
  </si>
  <si>
    <t>Top risks &amp; issues</t>
  </si>
  <si>
    <t>• I-001 (High, Open): Contractor Labour 22% over — mitigated by CR-003; rate renegotiation in progress.</t>
  </si>
  <si>
    <t>• R-001 (High, Open): SI partner delivery record — sprint 9-10 on the critical path to UAT.</t>
  </si>
  <si>
    <t>• R-004 (High, Open): Contingency buffer depleting; $44.9K remains for cutover contingency.</t>
  </si>
  <si>
    <t>• R-002 (High, Mitigated): UAT / quarter-end clash — CR-004 raised.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</si>
</sst>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#,##0.00;\(#,##0.00\)"/>
    <numFmt numFmtId="166" formatCode="\$#,##0;&quot;($&quot;#,##0\)"/>
    <numFmt numFmtId="167" formatCode="0.0%"/>
  </numFmts>
  <fonts count="11" x14ac:knownFonts="1">
    <font>
      <sz val="11"/>
      <color theme="1"/>
      <name val="Calibri"/>
      <family val="2"/>
      <charset val="1"/>
    </font>
    <font>
      <b/>
      <sz val="15"/>
      <color rgb="FF10192B"/>
      <name val="Calibri"/>
      <charset val="1"/>
    </font>
    <font>
      <sz val="10"/>
      <color rgb="FF44566A"/>
      <name val="Calibri"/>
      <charset val="1"/>
    </font>
    <font>
      <b/>
      <sz val="10"/>
      <color rgb="FFFFFFFF"/>
      <name val="Calibri"/>
      <charset val="1"/>
    </font>
    <font>
      <sz val="10"/>
      <name val="Calibri"/>
      <charset val="1"/>
    </font>
    <font>
      <b/>
      <sz val="10"/>
      <name val="Calibri"/>
      <charset val="1"/>
    </font>
    <font>
      <b/>
      <sz val="10"/>
      <color rgb="FF44566A"/>
      <name val="Calibri"/>
      <charset val="1"/>
    </font>
    <font>
      <b/>
      <sz val="11"/>
      <name val="Calibri"/>
      <charset val="1"/>
    </font>
    <font>
      <b/>
      <sz val="12"/>
      <color rgb="FF10192B"/>
      <name val="Calibri"/>
      <charset val="1"/>
    </font>
    <font>
      <b/>
      <sz val="12"/>
      <name val="Calibri"/>
      <charset val="1"/>
    </font>
    <font>
      <i/>
      <sz val="9"/>
      <color rgb="FF44566A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0192B"/>
        <bgColor rgb="FF000000"/>
      </patternFill>
    </fill>
    <fill>
      <patternFill patternType="solid">
        <fgColor rgb="FFE9E8E4"/>
        <bgColor rgb="FFE4F1EA"/>
      </patternFill>
    </fill>
    <fill>
      <patternFill patternType="solid">
        <fgColor rgb="FFF7EAD6"/>
        <bgColor rgb="FFF6E1E3"/>
      </patternFill>
    </fill>
    <fill>
      <patternFill patternType="solid">
        <fgColor rgb="FFE4F1EA"/>
        <bgColor rgb="FFE9E8E4"/>
      </patternFill>
    </fill>
  </fills>
  <borders count="2">
    <border>
      <left/>
      <right/>
      <top/>
      <bottom/>
      <diagonal/>
    </border>
    <border>
      <left style="thin">
        <color rgb="FFD9D4C6"/>
      </left>
      <right style="thin">
        <color rgb="FFD9D4C6"/>
      </right>
      <top style="thin">
        <color rgb="FFD9D4C6"/>
      </top>
      <bottom style="thin">
        <color rgb="FFD9D4C6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0" borderId="0" xfId="0" applyFont="1" applyAlignment="1">
      <alignment wrapText="1"/>
    </xf>
    <xf numFmtId="0" fontId="10" fillId="0" borderId="0" xfId="0" applyFont="1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/>
    <xf numFmtId="3" fontId="4" fillId="0" borderId="1" xfId="0" applyNumberFormat="1" applyFont="1" applyBorder="1"/>
    <xf numFmtId="164" fontId="5" fillId="0" borderId="1" xfId="0" applyNumberFormat="1" applyFont="1" applyBorder="1"/>
    <xf numFmtId="0" fontId="5" fillId="3" borderId="1" xfId="0" applyFont="1" applyFill="1" applyBorder="1"/>
    <xf numFmtId="3" fontId="5" fillId="3" borderId="1" xfId="0" applyNumberFormat="1" applyFont="1" applyFill="1" applyBorder="1"/>
    <xf numFmtId="164" fontId="5" fillId="3" borderId="1" xfId="0" applyNumberFormat="1" applyFont="1" applyFill="1" applyBorder="1"/>
    <xf numFmtId="0" fontId="6" fillId="0" borderId="0" xfId="0" applyFont="1"/>
    <xf numFmtId="165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0" fontId="5" fillId="0" borderId="0" xfId="0" applyFont="1"/>
    <xf numFmtId="164" fontId="7" fillId="3" borderId="1" xfId="0" applyNumberFormat="1" applyFont="1" applyFill="1" applyBorder="1"/>
    <xf numFmtId="166" fontId="4" fillId="0" borderId="1" xfId="0" applyNumberFormat="1" applyFont="1" applyBorder="1"/>
    <xf numFmtId="166" fontId="5" fillId="0" borderId="1" xfId="0" applyNumberFormat="1" applyFont="1" applyBorder="1"/>
    <xf numFmtId="167" fontId="4" fillId="0" borderId="1" xfId="0" applyNumberFormat="1" applyFont="1" applyBorder="1"/>
    <xf numFmtId="0" fontId="7" fillId="3" borderId="1" xfId="0" applyFont="1" applyFill="1" applyBorder="1"/>
    <xf numFmtId="166" fontId="7" fillId="3" borderId="1" xfId="0" applyNumberFormat="1" applyFont="1" applyFill="1" applyBorder="1"/>
    <xf numFmtId="167" fontId="7" fillId="3" borderId="1" xfId="0" applyNumberFormat="1" applyFont="1" applyFill="1" applyBorder="1"/>
    <xf numFmtId="0" fontId="8" fillId="0" borderId="0" xfId="0" applyFont="1"/>
    <xf numFmtId="164" fontId="8" fillId="0" borderId="1" xfId="0" applyNumberFormat="1" applyFont="1" applyBorder="1" applyAlignment="1">
      <alignment horizontal="center"/>
    </xf>
    <xf numFmtId="167" fontId="8" fillId="0" borderId="1" xfId="0" applyNumberFormat="1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3" fillId="2" borderId="1" xfId="0" applyFont="1" applyFill="1" applyBorder="1"/>
    <xf numFmtId="0" fontId="10" fillId="0" borderId="0" xfId="0" applyFont="1"/>
    <xf numFmtId="0" fontId="5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</cellXfs>
  <cellStyles count="1">
    <cellStyle name="Normal" xfId="0" builtinId="0"/>
  </cellStyles>
  <dxfs count="19">
    <dxf>
      <fill>
        <patternFill>
          <bgColor rgb="FFF6E1E3"/>
        </patternFill>
      </fill>
    </dxf>
    <dxf>
      <fill>
        <patternFill>
          <bgColor rgb="FFF7EAD6"/>
        </patternFill>
      </fill>
    </dxf>
    <dxf>
      <fill>
        <patternFill>
          <bgColor rgb="FFE4F1EA"/>
        </patternFill>
      </fill>
    </dxf>
    <dxf>
      <fill>
        <patternFill>
          <bgColor rgb="FFF7EAD6"/>
        </patternFill>
      </fill>
    </dxf>
    <dxf>
      <fill>
        <patternFill>
          <bgColor rgb="FFF6E1E3"/>
        </patternFill>
      </fill>
    </dxf>
    <dxf>
      <fill>
        <patternFill>
          <bgColor rgb="FFF7EAD6"/>
        </patternFill>
      </fill>
    </dxf>
    <dxf>
      <fill>
        <patternFill>
          <bgColor rgb="FFF6E1E3"/>
        </patternFill>
      </fill>
    </dxf>
    <dxf>
      <fill>
        <patternFill>
          <bgColor rgb="FFE4F1EA"/>
        </patternFill>
      </fill>
    </dxf>
    <dxf>
      <fill>
        <patternFill>
          <bgColor rgb="FFE4F1EA"/>
        </patternFill>
      </fill>
    </dxf>
    <dxf>
      <fill>
        <patternFill>
          <bgColor rgb="FFF7EAD6"/>
        </patternFill>
      </fill>
    </dxf>
    <dxf>
      <fill>
        <patternFill>
          <bgColor rgb="FFF6E1E3"/>
        </patternFill>
      </fill>
    </dxf>
    <dxf>
      <fill>
        <patternFill>
          <bgColor rgb="FFF6E1E3"/>
        </patternFill>
      </fill>
    </dxf>
    <dxf>
      <fill>
        <patternFill>
          <bgColor rgb="FFE4F1EA"/>
        </patternFill>
      </fill>
    </dxf>
    <dxf>
      <fill>
        <patternFill>
          <bgColor rgb="FFF6E1E3"/>
        </patternFill>
      </fill>
    </dxf>
    <dxf>
      <fill>
        <patternFill>
          <bgColor rgb="FFF6E1E3"/>
        </patternFill>
      </fill>
    </dxf>
    <dxf>
      <fill>
        <patternFill>
          <bgColor rgb="FFF7EAD6"/>
        </patternFill>
      </fill>
    </dxf>
    <dxf>
      <fill>
        <patternFill>
          <bgColor rgb="FFE4F1EA"/>
        </patternFill>
      </fill>
    </dxf>
    <dxf>
      <fill>
        <patternFill>
          <bgColor rgb="FFF7EAD6"/>
        </patternFill>
      </fill>
    </dxf>
    <dxf>
      <fill>
        <patternFill>
          <bgColor rgb="FFF7EA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4C6"/>
      <rgbColor rgb="FF878787"/>
      <rgbColor rgb="FF9999FF"/>
      <rgbColor rgb="FFBE4B48"/>
      <rgbColor rgb="FFF7EAD6"/>
      <rgbColor rgb="FFE4F1EA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9E8E4"/>
      <rgbColor rgb="FFFFFF99"/>
      <rgbColor rgb="FF99CCFF"/>
      <rgbColor rgb="FFFF99CC"/>
      <rgbColor rgb="FFCC99FF"/>
      <rgbColor rgb="FFF6E1E3"/>
      <rgbColor rgb="FF4F81BD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10192B"/>
      <rgbColor rgb="FF333300"/>
      <rgbColor rgb="FF993300"/>
      <rgbColor rgb="FF993366"/>
      <rgbColor rgb="FF44566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S-Curve — Cumulative Plan vs Actual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'Cost Dashboard'!$C$31</c:f>
              <c:strCache>
                <c:ptCount val="1"/>
                <c:pt idx="0">
                  <c:v>Cumulative Plan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Dashboard'!$B$32:$B$43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'Cost Dashboard'!$C$32:$C$43</c:f>
              <c:numCache>
                <c:formatCode>#,##0</c:formatCode>
                <c:ptCount val="12"/>
                <c:pt idx="0">
                  <c:v>85600</c:v>
                </c:pt>
                <c:pt idx="1">
                  <c:v>164250</c:v>
                </c:pt>
                <c:pt idx="2">
                  <c:v>277540</c:v>
                </c:pt>
                <c:pt idx="3">
                  <c:v>401490</c:v>
                </c:pt>
                <c:pt idx="4">
                  <c:v>531750</c:v>
                </c:pt>
                <c:pt idx="5">
                  <c:v>658260</c:v>
                </c:pt>
                <c:pt idx="6">
                  <c:v>783470</c:v>
                </c:pt>
                <c:pt idx="7">
                  <c:v>901230</c:v>
                </c:pt>
                <c:pt idx="8">
                  <c:v>1013690</c:v>
                </c:pt>
                <c:pt idx="9">
                  <c:v>1121100</c:v>
                </c:pt>
                <c:pt idx="10">
                  <c:v>1197050</c:v>
                </c:pt>
                <c:pt idx="11">
                  <c:v>1260000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089-465E-B70B-D5337EFDCCD6}"/>
            </c:ext>
          </c:extLst>
        </c:ser>
        <c:ser>
          <c:idx val="1"/>
          <c:order val="1"/>
          <c:tx>
            <c:strRef>
              <c:f>'Cost Dashboard'!$D$31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Dashboard'!$B$32:$B$43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'Cost Dashboard'!$D$32:$D$43</c:f>
              <c:numCache>
                <c:formatCode>#,##0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089-465E-B70B-D5337EFDC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9929523"/>
        <c:axId val="67340365"/>
      </c:lineChart>
      <c:catAx>
        <c:axId val="599295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340365"/>
        <c:crosses val="autoZero"/>
        <c:auto val="1"/>
        <c:lblAlgn val="ctr"/>
        <c:lblOffset val="100"/>
        <c:noMultiLvlLbl val="0"/>
      </c:catAx>
      <c:valAx>
        <c:axId val="673403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9295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Variance at Completion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'Cost Dashboard'!$I$5</c:f>
              <c:strCache>
                <c:ptCount val="1"/>
                <c:pt idx="0">
                  <c:v>Variance at Completion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'Cost Dashboard'!$B$6:$B$14</c:f>
              <c:strCache>
                <c:ptCount val="9"/>
                <c:pt idx="0">
                  <c:v>SI Partner Fees</c:v>
                </c:pt>
                <c:pt idx="1">
                  <c:v>Internal Labour</c:v>
                </c:pt>
                <c:pt idx="2">
                  <c:v>Contractor Labour</c:v>
                </c:pt>
                <c:pt idx="3">
                  <c:v>Software Licences</c:v>
                </c:pt>
                <c:pt idx="4">
                  <c:v>Hardware &amp; Infra</c:v>
                </c:pt>
                <c:pt idx="5">
                  <c:v>Cloud / Hosting</c:v>
                </c:pt>
                <c:pt idx="6">
                  <c:v>Training &amp; Change</c:v>
                </c:pt>
                <c:pt idx="7">
                  <c:v>Travel</c:v>
                </c:pt>
                <c:pt idx="8">
                  <c:v>Contingency</c:v>
                </c:pt>
              </c:strCache>
            </c:strRef>
          </c:cat>
          <c:val>
            <c:numRef>
              <c:f>'Cost Dashboard'!$I$6:$I$14</c:f>
              <c:numCache>
                <c:formatCode>\$#,##0;"($"#,##0\)</c:formatCode>
                <c:ptCount val="9"/>
                <c:pt idx="0">
                  <c:v>-17368.73000000004</c:v>
                </c:pt>
                <c:pt idx="1">
                  <c:v>552.89999999999418</c:v>
                </c:pt>
                <c:pt idx="2">
                  <c:v>-64050.050000000047</c:v>
                </c:pt>
                <c:pt idx="3">
                  <c:v>-18669.359999999986</c:v>
                </c:pt>
                <c:pt idx="4">
                  <c:v>24619.060000000005</c:v>
                </c:pt>
                <c:pt idx="5">
                  <c:v>-2800.0599999999977</c:v>
                </c:pt>
                <c:pt idx="6">
                  <c:v>921.04000000000087</c:v>
                </c:pt>
                <c:pt idx="7">
                  <c:v>454.38000000000102</c:v>
                </c:pt>
                <c:pt idx="8">
                  <c:v>44880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C-4DDC-A319-A5E371A228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2264440"/>
        <c:axId val="17660130"/>
      </c:barChart>
      <c:catAx>
        <c:axId val="32264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7660130"/>
        <c:crosses val="autoZero"/>
        <c:auto val="1"/>
        <c:lblAlgn val="ctr"/>
        <c:lblOffset val="100"/>
        <c:noMultiLvlLbl val="0"/>
      </c:catAx>
      <c:valAx>
        <c:axId val="176601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;&quot;($&quot;#,##0\)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22644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28</xdr:row>
      <xdr:rowOff>145440</xdr:rowOff>
    </xdr:from>
    <xdr:to>
      <xdr:col>13</xdr:col>
      <xdr:colOff>549720</xdr:colOff>
      <xdr:row>45</xdr:row>
      <xdr:rowOff>146520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0</xdr:colOff>
      <xdr:row>28</xdr:row>
      <xdr:rowOff>145440</xdr:rowOff>
    </xdr:from>
    <xdr:to>
      <xdr:col>21</xdr:col>
      <xdr:colOff>399240</xdr:colOff>
      <xdr:row>45</xdr:row>
      <xdr:rowOff>146520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3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 x14ac:dyDescent="0.25"/>
  <cols>
    <col min="2" max="2" width="7" customWidth="1"/>
    <col min="3" max="3" width="32" customWidth="1"/>
    <col min="4" max="4" width="13" customWidth="1"/>
    <col min="5" max="5" width="7" customWidth="1"/>
    <col min="6" max="6" width="38" customWidth="1"/>
    <col min="7" max="7" width="8" customWidth="1"/>
    <col min="8" max="8" width="9" customWidth="1"/>
    <col min="9" max="9" width="42" customWidth="1"/>
  </cols>
  <sheetData>
    <row r="2" spans="2:9" ht="19.5" x14ac:dyDescent="0.3">
      <c r="B2" s="3" t="s">
        <v>0</v>
      </c>
    </row>
    <row r="3" spans="2:9" x14ac:dyDescent="0.25">
      <c r="B3" s="4" t="s">
        <v>1</v>
      </c>
    </row>
    <row r="5" spans="2:9" ht="25.5" customHeight="1" x14ac:dyDescent="0.25"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5" t="s">
        <v>7</v>
      </c>
      <c r="H5" s="5" t="s">
        <v>8</v>
      </c>
      <c r="I5" s="5" t="s">
        <v>9</v>
      </c>
    </row>
    <row r="6" spans="2:9" ht="31.5" customHeight="1" x14ac:dyDescent="0.25"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6" t="s">
        <v>15</v>
      </c>
      <c r="I6" s="6" t="s">
        <v>16</v>
      </c>
    </row>
    <row r="7" spans="2:9" ht="31.5" customHeight="1" x14ac:dyDescent="0.25">
      <c r="B7" s="6" t="s">
        <v>17</v>
      </c>
      <c r="C7" s="6" t="s">
        <v>18</v>
      </c>
      <c r="D7" s="6" t="s">
        <v>12</v>
      </c>
      <c r="E7" s="6" t="s">
        <v>13</v>
      </c>
      <c r="F7" s="6" t="s">
        <v>19</v>
      </c>
      <c r="G7" s="6" t="s">
        <v>15</v>
      </c>
      <c r="H7" s="6" t="s">
        <v>15</v>
      </c>
      <c r="I7" s="6" t="s">
        <v>20</v>
      </c>
    </row>
    <row r="8" spans="2:9" ht="31.5" customHeight="1" x14ac:dyDescent="0.25">
      <c r="B8" s="6" t="s">
        <v>21</v>
      </c>
      <c r="C8" s="6" t="s">
        <v>22</v>
      </c>
      <c r="D8" s="6" t="s">
        <v>12</v>
      </c>
      <c r="E8" s="6" t="s">
        <v>23</v>
      </c>
      <c r="F8" s="6" t="s">
        <v>24</v>
      </c>
      <c r="G8" s="6" t="s">
        <v>25</v>
      </c>
      <c r="H8" s="6" t="s">
        <v>15</v>
      </c>
      <c r="I8" s="6" t="s">
        <v>26</v>
      </c>
    </row>
    <row r="9" spans="2:9" ht="31.5" customHeight="1" x14ac:dyDescent="0.25">
      <c r="B9" s="6" t="s">
        <v>27</v>
      </c>
      <c r="C9" s="6" t="s">
        <v>28</v>
      </c>
      <c r="D9" s="6" t="s">
        <v>29</v>
      </c>
      <c r="E9" s="6" t="s">
        <v>23</v>
      </c>
      <c r="F9" s="6" t="s">
        <v>30</v>
      </c>
      <c r="G9" s="6" t="s">
        <v>25</v>
      </c>
      <c r="H9" s="6" t="s">
        <v>15</v>
      </c>
      <c r="I9" s="6" t="s">
        <v>31</v>
      </c>
    </row>
    <row r="10" spans="2:9" ht="31.5" customHeight="1" x14ac:dyDescent="0.25">
      <c r="B10" s="6" t="s">
        <v>32</v>
      </c>
      <c r="C10" s="6" t="s">
        <v>33</v>
      </c>
      <c r="D10" s="6" t="s">
        <v>12</v>
      </c>
      <c r="E10" s="6" t="s">
        <v>34</v>
      </c>
      <c r="F10" s="6" t="s">
        <v>35</v>
      </c>
      <c r="G10" s="6" t="s">
        <v>25</v>
      </c>
      <c r="H10" s="6" t="s">
        <v>15</v>
      </c>
      <c r="I10" s="6" t="s">
        <v>36</v>
      </c>
    </row>
    <row r="11" spans="2:9" ht="31.5" customHeight="1" x14ac:dyDescent="0.25">
      <c r="B11" s="6" t="s">
        <v>37</v>
      </c>
      <c r="C11" s="6" t="s">
        <v>38</v>
      </c>
      <c r="D11" s="6" t="s">
        <v>12</v>
      </c>
      <c r="E11" s="6" t="s">
        <v>34</v>
      </c>
      <c r="F11" s="6" t="s">
        <v>39</v>
      </c>
      <c r="G11" s="6" t="s">
        <v>15</v>
      </c>
      <c r="H11" s="6" t="s">
        <v>25</v>
      </c>
      <c r="I11" s="6" t="s">
        <v>40</v>
      </c>
    </row>
    <row r="12" spans="2:9" ht="31.5" customHeight="1" x14ac:dyDescent="0.25">
      <c r="B12" s="6" t="s">
        <v>41</v>
      </c>
      <c r="C12" s="6" t="s">
        <v>42</v>
      </c>
      <c r="D12" s="6" t="s">
        <v>12</v>
      </c>
      <c r="E12" s="6" t="s">
        <v>34</v>
      </c>
      <c r="F12" s="6" t="s">
        <v>43</v>
      </c>
      <c r="G12" s="6" t="s">
        <v>44</v>
      </c>
      <c r="H12" s="6" t="s">
        <v>25</v>
      </c>
      <c r="I12" s="6" t="s">
        <v>45</v>
      </c>
    </row>
    <row r="13" spans="2:9" ht="31.5" customHeight="1" x14ac:dyDescent="0.25">
      <c r="B13" s="6" t="s">
        <v>46</v>
      </c>
      <c r="C13" s="6" t="s">
        <v>47</v>
      </c>
      <c r="D13" s="6" t="s">
        <v>12</v>
      </c>
      <c r="E13" s="6" t="s">
        <v>23</v>
      </c>
      <c r="F13" s="6" t="s">
        <v>48</v>
      </c>
      <c r="G13" s="6" t="s">
        <v>49</v>
      </c>
      <c r="H13" s="6" t="s">
        <v>49</v>
      </c>
      <c r="I13" s="6" t="s">
        <v>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17"/>
  <sheetViews>
    <sheetView showGridLines="0" zoomScaleNormal="100" workbookViewId="0"/>
  </sheetViews>
  <sheetFormatPr defaultColWidth="8.7109375" defaultRowHeight="15" x14ac:dyDescent="0.25"/>
  <cols>
    <col min="2" max="2" width="22" customWidth="1"/>
    <col min="3" max="15" width="11" customWidth="1"/>
  </cols>
  <sheetData>
    <row r="2" spans="2:15" ht="19.5" x14ac:dyDescent="0.3">
      <c r="B2" s="3" t="s">
        <v>51</v>
      </c>
    </row>
    <row r="3" spans="2:15" x14ac:dyDescent="0.25">
      <c r="B3" s="4" t="s">
        <v>52</v>
      </c>
    </row>
    <row r="5" spans="2:15" ht="24" customHeight="1" x14ac:dyDescent="0.25">
      <c r="B5" s="7" t="s">
        <v>53</v>
      </c>
      <c r="C5" s="7" t="s">
        <v>54</v>
      </c>
      <c r="D5" s="7" t="s">
        <v>55</v>
      </c>
      <c r="E5" s="7" t="s">
        <v>56</v>
      </c>
      <c r="F5" s="7" t="s">
        <v>57</v>
      </c>
      <c r="G5" s="7" t="s">
        <v>58</v>
      </c>
      <c r="H5" s="7" t="s">
        <v>59</v>
      </c>
      <c r="I5" s="7" t="s">
        <v>60</v>
      </c>
      <c r="J5" s="7" t="s">
        <v>61</v>
      </c>
      <c r="K5" s="7" t="s">
        <v>62</v>
      </c>
      <c r="L5" s="7" t="s">
        <v>63</v>
      </c>
      <c r="M5" s="7" t="s">
        <v>64</v>
      </c>
      <c r="N5" s="7" t="s">
        <v>65</v>
      </c>
      <c r="O5" s="7" t="s">
        <v>66</v>
      </c>
    </row>
    <row r="6" spans="2:15" x14ac:dyDescent="0.25">
      <c r="B6" s="8" t="s">
        <v>67</v>
      </c>
      <c r="C6" s="9">
        <v>12600</v>
      </c>
      <c r="D6" s="9">
        <v>21000</v>
      </c>
      <c r="E6" s="9">
        <v>33600</v>
      </c>
      <c r="F6" s="9">
        <v>42000</v>
      </c>
      <c r="G6" s="9">
        <v>50400</v>
      </c>
      <c r="H6" s="9">
        <v>50400</v>
      </c>
      <c r="I6" s="9">
        <v>50400</v>
      </c>
      <c r="J6" s="9">
        <v>46200</v>
      </c>
      <c r="K6" s="9">
        <v>42000</v>
      </c>
      <c r="L6" s="9">
        <v>37800</v>
      </c>
      <c r="M6" s="9">
        <v>21000</v>
      </c>
      <c r="N6" s="9">
        <v>12600</v>
      </c>
      <c r="O6" s="10">
        <f t="shared" ref="O6:O14" si="0">SUM(C6:N6)</f>
        <v>420000</v>
      </c>
    </row>
    <row r="7" spans="2:15" x14ac:dyDescent="0.25">
      <c r="B7" s="8" t="s">
        <v>68</v>
      </c>
      <c r="C7" s="9">
        <v>15600</v>
      </c>
      <c r="D7" s="9">
        <v>18200</v>
      </c>
      <c r="E7" s="9">
        <v>20800</v>
      </c>
      <c r="F7" s="9">
        <v>23400</v>
      </c>
      <c r="G7" s="9">
        <v>23400</v>
      </c>
      <c r="H7" s="9">
        <v>23400</v>
      </c>
      <c r="I7" s="9">
        <v>23400</v>
      </c>
      <c r="J7" s="9">
        <v>23400</v>
      </c>
      <c r="K7" s="9">
        <v>23400</v>
      </c>
      <c r="L7" s="9">
        <v>23400</v>
      </c>
      <c r="M7" s="9">
        <v>20800</v>
      </c>
      <c r="N7" s="9">
        <v>20800</v>
      </c>
      <c r="O7" s="10">
        <f t="shared" si="0"/>
        <v>260000</v>
      </c>
    </row>
    <row r="8" spans="2:15" x14ac:dyDescent="0.25">
      <c r="B8" s="8" t="s">
        <v>69</v>
      </c>
      <c r="C8" s="9">
        <v>3600</v>
      </c>
      <c r="D8" s="9">
        <v>7200</v>
      </c>
      <c r="E8" s="9">
        <v>14400</v>
      </c>
      <c r="F8" s="9">
        <v>21600</v>
      </c>
      <c r="G8" s="9">
        <v>25200</v>
      </c>
      <c r="H8" s="9">
        <v>25200</v>
      </c>
      <c r="I8" s="9">
        <v>25200</v>
      </c>
      <c r="J8" s="9">
        <v>21600</v>
      </c>
      <c r="K8" s="9">
        <v>18000</v>
      </c>
      <c r="L8" s="9">
        <v>10800</v>
      </c>
      <c r="M8" s="9">
        <v>5400</v>
      </c>
      <c r="N8" s="9">
        <v>1800</v>
      </c>
      <c r="O8" s="10">
        <f t="shared" si="0"/>
        <v>180000</v>
      </c>
    </row>
    <row r="9" spans="2:15" x14ac:dyDescent="0.25">
      <c r="B9" s="8" t="s">
        <v>70</v>
      </c>
      <c r="C9" s="9">
        <v>43500</v>
      </c>
      <c r="D9" s="9">
        <v>7250</v>
      </c>
      <c r="E9" s="9">
        <v>7250</v>
      </c>
      <c r="F9" s="9">
        <v>7250</v>
      </c>
      <c r="G9" s="9">
        <v>7250</v>
      </c>
      <c r="H9" s="9">
        <v>7250</v>
      </c>
      <c r="I9" s="9">
        <v>7250</v>
      </c>
      <c r="J9" s="9">
        <v>7250</v>
      </c>
      <c r="K9" s="9">
        <v>7250</v>
      </c>
      <c r="L9" s="9">
        <v>14500</v>
      </c>
      <c r="M9" s="9">
        <v>14500</v>
      </c>
      <c r="N9" s="9">
        <v>14500</v>
      </c>
      <c r="O9" s="10">
        <f t="shared" si="0"/>
        <v>145000</v>
      </c>
    </row>
    <row r="10" spans="2:15" x14ac:dyDescent="0.25">
      <c r="B10" s="8" t="s">
        <v>71</v>
      </c>
      <c r="C10" s="9">
        <v>4500</v>
      </c>
      <c r="D10" s="9">
        <v>18000</v>
      </c>
      <c r="E10" s="9">
        <v>27000</v>
      </c>
      <c r="F10" s="9">
        <v>18000</v>
      </c>
      <c r="G10" s="9">
        <v>9000</v>
      </c>
      <c r="H10" s="9">
        <v>4500</v>
      </c>
      <c r="I10" s="9">
        <v>2700</v>
      </c>
      <c r="J10" s="9">
        <v>1800</v>
      </c>
      <c r="K10" s="9">
        <v>1800</v>
      </c>
      <c r="L10" s="9">
        <v>900</v>
      </c>
      <c r="M10" s="9">
        <v>900</v>
      </c>
      <c r="N10" s="9">
        <v>900</v>
      </c>
      <c r="O10" s="10">
        <f t="shared" si="0"/>
        <v>90000</v>
      </c>
    </row>
    <row r="11" spans="2:15" x14ac:dyDescent="0.25">
      <c r="B11" s="8" t="s">
        <v>72</v>
      </c>
      <c r="C11" s="9">
        <v>1200</v>
      </c>
      <c r="D11" s="9">
        <v>2400</v>
      </c>
      <c r="E11" s="9">
        <v>3600</v>
      </c>
      <c r="F11" s="9">
        <v>4800</v>
      </c>
      <c r="G11" s="9">
        <v>6000</v>
      </c>
      <c r="H11" s="9">
        <v>6000</v>
      </c>
      <c r="I11" s="9">
        <v>6000</v>
      </c>
      <c r="J11" s="9">
        <v>6000</v>
      </c>
      <c r="K11" s="9">
        <v>6000</v>
      </c>
      <c r="L11" s="9">
        <v>6000</v>
      </c>
      <c r="M11" s="9">
        <v>6000</v>
      </c>
      <c r="N11" s="9">
        <v>6000</v>
      </c>
      <c r="O11" s="10">
        <f t="shared" si="0"/>
        <v>60000</v>
      </c>
    </row>
    <row r="12" spans="2:15" x14ac:dyDescent="0.25">
      <c r="B12" s="8" t="s">
        <v>73</v>
      </c>
      <c r="C12" s="9">
        <v>0</v>
      </c>
      <c r="D12" s="9">
        <v>0</v>
      </c>
      <c r="E12" s="9">
        <v>0</v>
      </c>
      <c r="F12" s="9">
        <v>500</v>
      </c>
      <c r="G12" s="9">
        <v>1250</v>
      </c>
      <c r="H12" s="9">
        <v>2000</v>
      </c>
      <c r="I12" s="9">
        <v>2500</v>
      </c>
      <c r="J12" s="9">
        <v>3750</v>
      </c>
      <c r="K12" s="9">
        <v>6250</v>
      </c>
      <c r="L12" s="9">
        <v>6250</v>
      </c>
      <c r="M12" s="9">
        <v>1750</v>
      </c>
      <c r="N12" s="9">
        <v>750</v>
      </c>
      <c r="O12" s="10">
        <f t="shared" si="0"/>
        <v>25000</v>
      </c>
    </row>
    <row r="13" spans="2:15" x14ac:dyDescent="0.25">
      <c r="B13" s="8" t="s">
        <v>74</v>
      </c>
      <c r="C13" s="9">
        <v>1200</v>
      </c>
      <c r="D13" s="9">
        <v>1200</v>
      </c>
      <c r="E13" s="9">
        <v>1200</v>
      </c>
      <c r="F13" s="9">
        <v>960</v>
      </c>
      <c r="G13" s="9">
        <v>960</v>
      </c>
      <c r="H13" s="9">
        <v>960</v>
      </c>
      <c r="I13" s="9">
        <v>960</v>
      </c>
      <c r="J13" s="9">
        <v>960</v>
      </c>
      <c r="K13" s="9">
        <v>960</v>
      </c>
      <c r="L13" s="9">
        <v>960</v>
      </c>
      <c r="M13" s="9">
        <v>840</v>
      </c>
      <c r="N13" s="9">
        <v>840</v>
      </c>
      <c r="O13" s="10">
        <f t="shared" si="0"/>
        <v>12000</v>
      </c>
    </row>
    <row r="14" spans="2:15" x14ac:dyDescent="0.25">
      <c r="B14" s="8" t="s">
        <v>75</v>
      </c>
      <c r="C14" s="9">
        <v>3400</v>
      </c>
      <c r="D14" s="9">
        <v>3400</v>
      </c>
      <c r="E14" s="9">
        <v>5440</v>
      </c>
      <c r="F14" s="9">
        <v>5440</v>
      </c>
      <c r="G14" s="9">
        <v>6800</v>
      </c>
      <c r="H14" s="9">
        <v>6800</v>
      </c>
      <c r="I14" s="9">
        <v>6800</v>
      </c>
      <c r="J14" s="9">
        <v>6800</v>
      </c>
      <c r="K14" s="9">
        <v>6800</v>
      </c>
      <c r="L14" s="9">
        <v>6800</v>
      </c>
      <c r="M14" s="9">
        <v>4760</v>
      </c>
      <c r="N14" s="9">
        <v>4760</v>
      </c>
      <c r="O14" s="10">
        <f t="shared" si="0"/>
        <v>68000</v>
      </c>
    </row>
    <row r="15" spans="2:15" x14ac:dyDescent="0.25">
      <c r="B15" s="11" t="s">
        <v>76</v>
      </c>
      <c r="C15" s="12">
        <f t="shared" ref="C15:O15" si="1">SUM(C6:C14)</f>
        <v>85600</v>
      </c>
      <c r="D15" s="12">
        <f t="shared" si="1"/>
        <v>78650</v>
      </c>
      <c r="E15" s="12">
        <f t="shared" si="1"/>
        <v>113290</v>
      </c>
      <c r="F15" s="12">
        <f t="shared" si="1"/>
        <v>123950</v>
      </c>
      <c r="G15" s="12">
        <f t="shared" si="1"/>
        <v>130260</v>
      </c>
      <c r="H15" s="12">
        <f t="shared" si="1"/>
        <v>126510</v>
      </c>
      <c r="I15" s="12">
        <f t="shared" si="1"/>
        <v>125210</v>
      </c>
      <c r="J15" s="12">
        <f t="shared" si="1"/>
        <v>117760</v>
      </c>
      <c r="K15" s="12">
        <f t="shared" si="1"/>
        <v>112460</v>
      </c>
      <c r="L15" s="12">
        <f t="shared" si="1"/>
        <v>107410</v>
      </c>
      <c r="M15" s="12">
        <f t="shared" si="1"/>
        <v>75950</v>
      </c>
      <c r="N15" s="12">
        <f t="shared" si="1"/>
        <v>62950</v>
      </c>
      <c r="O15" s="13">
        <f t="shared" si="1"/>
        <v>1260000</v>
      </c>
    </row>
    <row r="17" spans="2:14" x14ac:dyDescent="0.25">
      <c r="B17" s="14" t="s">
        <v>77</v>
      </c>
      <c r="C17" s="9">
        <f>SUM($C$15:C15)</f>
        <v>85600</v>
      </c>
      <c r="D17" s="9">
        <f>SUM($C$15:D15)</f>
        <v>164250</v>
      </c>
      <c r="E17" s="9">
        <f>SUM($C$15:E15)</f>
        <v>277540</v>
      </c>
      <c r="F17" s="9">
        <f>SUM($C$15:F15)</f>
        <v>401490</v>
      </c>
      <c r="G17" s="9">
        <f>SUM($C$15:G15)</f>
        <v>531750</v>
      </c>
      <c r="H17" s="9">
        <f>SUM($C$15:H15)</f>
        <v>658260</v>
      </c>
      <c r="I17" s="9">
        <f>SUM($C$15:I15)</f>
        <v>783470</v>
      </c>
      <c r="J17" s="9">
        <f>SUM($C$15:J15)</f>
        <v>901230</v>
      </c>
      <c r="K17" s="9">
        <f>SUM($C$15:K15)</f>
        <v>1013690</v>
      </c>
      <c r="L17" s="9">
        <f>SUM($C$15:L15)</f>
        <v>1121100</v>
      </c>
      <c r="M17" s="9">
        <f>SUM($C$15:M15)</f>
        <v>1197050</v>
      </c>
      <c r="N17" s="9">
        <f>SUM($C$15:N15)</f>
        <v>1260000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119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 x14ac:dyDescent="0.25"/>
  <cols>
    <col min="2" max="2" width="12" customWidth="1"/>
    <col min="3" max="3" width="11" customWidth="1"/>
    <col min="4" max="4" width="10" customWidth="1"/>
    <col min="5" max="5" width="32" customWidth="1"/>
    <col min="6" max="6" width="11" customWidth="1"/>
    <col min="7" max="7" width="14" customWidth="1"/>
    <col min="8" max="8" width="18" customWidth="1"/>
    <col min="9" max="9" width="34" customWidth="1"/>
    <col min="10" max="10" width="12" customWidth="1"/>
    <col min="11" max="12" width="9" customWidth="1"/>
  </cols>
  <sheetData>
    <row r="2" spans="2:12" ht="19.5" x14ac:dyDescent="0.3">
      <c r="B2" s="3" t="s">
        <v>78</v>
      </c>
    </row>
    <row r="3" spans="2:12" x14ac:dyDescent="0.25">
      <c r="B3" s="4" t="s">
        <v>79</v>
      </c>
    </row>
    <row r="5" spans="2:12" ht="25.5" customHeight="1" x14ac:dyDescent="0.25">
      <c r="B5" s="5" t="s">
        <v>80</v>
      </c>
      <c r="C5" s="5" t="s">
        <v>81</v>
      </c>
      <c r="D5" s="5" t="s">
        <v>82</v>
      </c>
      <c r="E5" s="5" t="s">
        <v>83</v>
      </c>
      <c r="F5" s="5" t="s">
        <v>84</v>
      </c>
      <c r="G5" s="5" t="s">
        <v>85</v>
      </c>
      <c r="H5" s="5" t="s">
        <v>53</v>
      </c>
      <c r="I5" s="5" t="s">
        <v>86</v>
      </c>
      <c r="J5" s="5" t="s">
        <v>87</v>
      </c>
      <c r="K5" s="5" t="s">
        <v>88</v>
      </c>
      <c r="L5" s="5" t="s">
        <v>89</v>
      </c>
    </row>
    <row r="6" spans="2:12" ht="15.75" customHeight="1" x14ac:dyDescent="0.25">
      <c r="B6" s="6" t="s">
        <v>90</v>
      </c>
      <c r="C6" s="6" t="s">
        <v>91</v>
      </c>
      <c r="D6" s="6" t="s">
        <v>92</v>
      </c>
      <c r="E6" s="6" t="s">
        <v>93</v>
      </c>
      <c r="F6" s="6" t="s">
        <v>94</v>
      </c>
      <c r="G6" s="6" t="s">
        <v>95</v>
      </c>
      <c r="H6" s="6" t="s">
        <v>69</v>
      </c>
      <c r="I6" s="6" t="s">
        <v>96</v>
      </c>
      <c r="J6" s="15">
        <v>14377.74</v>
      </c>
      <c r="K6" s="6" t="s">
        <v>97</v>
      </c>
      <c r="L6" s="6" t="s">
        <v>98</v>
      </c>
    </row>
    <row r="7" spans="2:12" ht="15.75" customHeight="1" x14ac:dyDescent="0.25">
      <c r="B7" s="6" t="s">
        <v>99</v>
      </c>
      <c r="C7" s="6" t="s">
        <v>100</v>
      </c>
      <c r="D7" s="6"/>
      <c r="E7" s="6" t="s">
        <v>101</v>
      </c>
      <c r="F7" s="6"/>
      <c r="G7" s="6"/>
      <c r="H7" s="6" t="s">
        <v>68</v>
      </c>
      <c r="I7" s="6" t="s">
        <v>102</v>
      </c>
      <c r="J7" s="15">
        <v>23548.67</v>
      </c>
      <c r="K7" s="6" t="s">
        <v>97</v>
      </c>
      <c r="L7" s="6" t="s">
        <v>98</v>
      </c>
    </row>
    <row r="8" spans="2:12" ht="15.75" customHeight="1" x14ac:dyDescent="0.25">
      <c r="B8" s="6" t="s">
        <v>103</v>
      </c>
      <c r="C8" s="6" t="s">
        <v>104</v>
      </c>
      <c r="D8" s="6" t="s">
        <v>105</v>
      </c>
      <c r="E8" s="6" t="s">
        <v>106</v>
      </c>
      <c r="F8" s="6" t="s">
        <v>107</v>
      </c>
      <c r="G8" s="6" t="s">
        <v>108</v>
      </c>
      <c r="H8" s="6" t="s">
        <v>73</v>
      </c>
      <c r="I8" s="6" t="s">
        <v>109</v>
      </c>
      <c r="J8" s="15">
        <v>1378.95</v>
      </c>
      <c r="K8" s="6" t="s">
        <v>97</v>
      </c>
      <c r="L8" s="6" t="s">
        <v>98</v>
      </c>
    </row>
    <row r="9" spans="2:12" ht="15.75" customHeight="1" x14ac:dyDescent="0.25">
      <c r="B9" s="6" t="s">
        <v>110</v>
      </c>
      <c r="C9" s="6" t="s">
        <v>111</v>
      </c>
      <c r="D9" s="6" t="s">
        <v>112</v>
      </c>
      <c r="E9" s="6" t="s">
        <v>113</v>
      </c>
      <c r="F9" s="6" t="s">
        <v>114</v>
      </c>
      <c r="G9" s="6" t="s">
        <v>115</v>
      </c>
      <c r="H9" s="6" t="s">
        <v>70</v>
      </c>
      <c r="I9" s="6" t="s">
        <v>116</v>
      </c>
      <c r="J9" s="15">
        <v>12883.3</v>
      </c>
      <c r="K9" s="6" t="s">
        <v>97</v>
      </c>
      <c r="L9" s="6" t="s">
        <v>98</v>
      </c>
    </row>
    <row r="10" spans="2:12" ht="15.75" customHeight="1" x14ac:dyDescent="0.25">
      <c r="B10" s="6" t="s">
        <v>117</v>
      </c>
      <c r="C10" s="6" t="s">
        <v>118</v>
      </c>
      <c r="D10" s="6" t="s">
        <v>119</v>
      </c>
      <c r="E10" s="6" t="s">
        <v>120</v>
      </c>
      <c r="F10" s="6" t="s">
        <v>121</v>
      </c>
      <c r="G10" s="6" t="s">
        <v>122</v>
      </c>
      <c r="H10" s="6" t="s">
        <v>69</v>
      </c>
      <c r="I10" s="6" t="s">
        <v>123</v>
      </c>
      <c r="J10" s="15">
        <v>14754.12</v>
      </c>
      <c r="K10" s="6" t="s">
        <v>97</v>
      </c>
      <c r="L10" s="6" t="s">
        <v>98</v>
      </c>
    </row>
    <row r="11" spans="2:12" ht="15.75" customHeight="1" x14ac:dyDescent="0.25">
      <c r="B11" s="6" t="s">
        <v>117</v>
      </c>
      <c r="C11" s="6" t="s">
        <v>124</v>
      </c>
      <c r="D11" s="6" t="s">
        <v>125</v>
      </c>
      <c r="E11" s="6" t="s">
        <v>126</v>
      </c>
      <c r="F11" s="6" t="s">
        <v>127</v>
      </c>
      <c r="G11" s="6" t="s">
        <v>128</v>
      </c>
      <c r="H11" s="6" t="s">
        <v>74</v>
      </c>
      <c r="I11" s="6" t="s">
        <v>129</v>
      </c>
      <c r="J11" s="15">
        <v>460.75</v>
      </c>
      <c r="K11" s="6" t="s">
        <v>97</v>
      </c>
      <c r="L11" s="6" t="s">
        <v>98</v>
      </c>
    </row>
    <row r="12" spans="2:12" ht="15.75" customHeight="1" x14ac:dyDescent="0.25">
      <c r="B12" s="6" t="s">
        <v>130</v>
      </c>
      <c r="C12" s="6" t="s">
        <v>131</v>
      </c>
      <c r="D12" s="6" t="s">
        <v>132</v>
      </c>
      <c r="E12" s="6" t="s">
        <v>133</v>
      </c>
      <c r="F12" s="6" t="s">
        <v>134</v>
      </c>
      <c r="G12" s="6" t="s">
        <v>135</v>
      </c>
      <c r="H12" s="6" t="s">
        <v>72</v>
      </c>
      <c r="I12" s="6" t="s">
        <v>136</v>
      </c>
      <c r="J12" s="15">
        <v>2019.1</v>
      </c>
      <c r="K12" s="6" t="s">
        <v>97</v>
      </c>
      <c r="L12" s="6" t="s">
        <v>98</v>
      </c>
    </row>
    <row r="13" spans="2:12" ht="15.75" customHeight="1" x14ac:dyDescent="0.25">
      <c r="B13" s="6" t="s">
        <v>137</v>
      </c>
      <c r="C13" s="6" t="s">
        <v>138</v>
      </c>
      <c r="D13" s="6" t="s">
        <v>125</v>
      </c>
      <c r="E13" s="6" t="s">
        <v>126</v>
      </c>
      <c r="F13" s="6" t="s">
        <v>139</v>
      </c>
      <c r="G13" s="6" t="s">
        <v>140</v>
      </c>
      <c r="H13" s="6" t="s">
        <v>74</v>
      </c>
      <c r="I13" s="6" t="s">
        <v>129</v>
      </c>
      <c r="J13" s="15">
        <v>438.8</v>
      </c>
      <c r="K13" s="6" t="s">
        <v>97</v>
      </c>
      <c r="L13" s="6" t="s">
        <v>98</v>
      </c>
    </row>
    <row r="14" spans="2:12" ht="15.75" customHeight="1" x14ac:dyDescent="0.25">
      <c r="B14" s="6" t="s">
        <v>141</v>
      </c>
      <c r="C14" s="6" t="s">
        <v>142</v>
      </c>
      <c r="D14" s="6" t="s">
        <v>143</v>
      </c>
      <c r="E14" s="6" t="s">
        <v>144</v>
      </c>
      <c r="F14" s="6" t="s">
        <v>145</v>
      </c>
      <c r="G14" s="6" t="s">
        <v>146</v>
      </c>
      <c r="H14" s="6" t="s">
        <v>71</v>
      </c>
      <c r="I14" s="6" t="s">
        <v>147</v>
      </c>
      <c r="J14" s="15">
        <v>6100.62</v>
      </c>
      <c r="K14" s="6" t="s">
        <v>97</v>
      </c>
      <c r="L14" s="6" t="s">
        <v>98</v>
      </c>
    </row>
    <row r="15" spans="2:12" ht="15.75" customHeight="1" x14ac:dyDescent="0.25">
      <c r="B15" s="6" t="s">
        <v>148</v>
      </c>
      <c r="C15" s="6" t="s">
        <v>149</v>
      </c>
      <c r="D15" s="6"/>
      <c r="E15" s="6" t="s">
        <v>101</v>
      </c>
      <c r="F15" s="6"/>
      <c r="G15" s="6"/>
      <c r="H15" s="6" t="s">
        <v>68</v>
      </c>
      <c r="I15" s="6" t="s">
        <v>102</v>
      </c>
      <c r="J15" s="15">
        <v>18171.13</v>
      </c>
      <c r="K15" s="6" t="s">
        <v>97</v>
      </c>
      <c r="L15" s="6" t="s">
        <v>98</v>
      </c>
    </row>
    <row r="16" spans="2:12" ht="15.75" customHeight="1" x14ac:dyDescent="0.25">
      <c r="B16" s="6" t="s">
        <v>150</v>
      </c>
      <c r="C16" s="6" t="s">
        <v>151</v>
      </c>
      <c r="D16" s="6" t="s">
        <v>152</v>
      </c>
      <c r="E16" s="6" t="s">
        <v>153</v>
      </c>
      <c r="F16" s="6" t="s">
        <v>154</v>
      </c>
      <c r="G16" s="6" t="s">
        <v>155</v>
      </c>
      <c r="H16" s="6" t="s">
        <v>67</v>
      </c>
      <c r="I16" s="6" t="s">
        <v>156</v>
      </c>
      <c r="J16" s="15">
        <v>26526.18</v>
      </c>
      <c r="K16" s="6" t="s">
        <v>97</v>
      </c>
      <c r="L16" s="6" t="s">
        <v>98</v>
      </c>
    </row>
    <row r="17" spans="2:12" ht="15.75" customHeight="1" x14ac:dyDescent="0.25">
      <c r="B17" s="6" t="s">
        <v>157</v>
      </c>
      <c r="C17" s="6" t="s">
        <v>158</v>
      </c>
      <c r="D17" s="6" t="s">
        <v>152</v>
      </c>
      <c r="E17" s="6" t="s">
        <v>153</v>
      </c>
      <c r="F17" s="6" t="s">
        <v>159</v>
      </c>
      <c r="G17" s="6" t="s">
        <v>160</v>
      </c>
      <c r="H17" s="6" t="s">
        <v>67</v>
      </c>
      <c r="I17" s="6" t="s">
        <v>161</v>
      </c>
      <c r="J17" s="15">
        <v>36944.61</v>
      </c>
      <c r="K17" s="6" t="s">
        <v>97</v>
      </c>
      <c r="L17" s="6" t="s">
        <v>98</v>
      </c>
    </row>
    <row r="18" spans="2:12" ht="15.75" customHeight="1" x14ac:dyDescent="0.25">
      <c r="B18" s="6" t="s">
        <v>162</v>
      </c>
      <c r="C18" s="6" t="s">
        <v>163</v>
      </c>
      <c r="D18" s="6"/>
      <c r="E18" s="6" t="s">
        <v>101</v>
      </c>
      <c r="F18" s="6"/>
      <c r="G18" s="6"/>
      <c r="H18" s="6" t="s">
        <v>68</v>
      </c>
      <c r="I18" s="6" t="s">
        <v>102</v>
      </c>
      <c r="J18" s="15">
        <v>23215.93</v>
      </c>
      <c r="K18" s="6" t="s">
        <v>97</v>
      </c>
      <c r="L18" s="6" t="s">
        <v>98</v>
      </c>
    </row>
    <row r="19" spans="2:12" ht="15.75" customHeight="1" x14ac:dyDescent="0.25">
      <c r="B19" s="6" t="s">
        <v>164</v>
      </c>
      <c r="C19" s="6" t="s">
        <v>165</v>
      </c>
      <c r="D19" s="6" t="s">
        <v>125</v>
      </c>
      <c r="E19" s="6" t="s">
        <v>126</v>
      </c>
      <c r="F19" s="6" t="s">
        <v>166</v>
      </c>
      <c r="G19" s="6" t="s">
        <v>167</v>
      </c>
      <c r="H19" s="6" t="s">
        <v>74</v>
      </c>
      <c r="I19" s="6" t="s">
        <v>168</v>
      </c>
      <c r="J19" s="15">
        <v>297.49</v>
      </c>
      <c r="K19" s="6" t="s">
        <v>97</v>
      </c>
      <c r="L19" s="6" t="s">
        <v>98</v>
      </c>
    </row>
    <row r="20" spans="2:12" ht="15.75" customHeight="1" x14ac:dyDescent="0.25">
      <c r="B20" s="6" t="s">
        <v>169</v>
      </c>
      <c r="C20" s="6" t="s">
        <v>170</v>
      </c>
      <c r="D20" s="6" t="s">
        <v>152</v>
      </c>
      <c r="E20" s="6" t="s">
        <v>153</v>
      </c>
      <c r="F20" s="6" t="s">
        <v>171</v>
      </c>
      <c r="G20" s="6" t="s">
        <v>172</v>
      </c>
      <c r="H20" s="6" t="s">
        <v>67</v>
      </c>
      <c r="I20" s="6" t="s">
        <v>173</v>
      </c>
      <c r="J20" s="15">
        <v>25864.07</v>
      </c>
      <c r="K20" s="6" t="s">
        <v>97</v>
      </c>
      <c r="L20" s="6" t="s">
        <v>98</v>
      </c>
    </row>
    <row r="21" spans="2:12" ht="15.75" customHeight="1" x14ac:dyDescent="0.25">
      <c r="B21" s="6" t="s">
        <v>174</v>
      </c>
      <c r="C21" s="6" t="s">
        <v>175</v>
      </c>
      <c r="D21" s="6" t="s">
        <v>125</v>
      </c>
      <c r="E21" s="6" t="s">
        <v>126</v>
      </c>
      <c r="F21" s="6" t="s">
        <v>176</v>
      </c>
      <c r="G21" s="6" t="s">
        <v>177</v>
      </c>
      <c r="H21" s="6" t="s">
        <v>74</v>
      </c>
      <c r="I21" s="6" t="s">
        <v>168</v>
      </c>
      <c r="J21" s="15">
        <v>449.64</v>
      </c>
      <c r="K21" s="6" t="s">
        <v>97</v>
      </c>
      <c r="L21" s="6" t="s">
        <v>98</v>
      </c>
    </row>
    <row r="22" spans="2:12" ht="15.75" customHeight="1" x14ac:dyDescent="0.25">
      <c r="B22" s="6" t="s">
        <v>178</v>
      </c>
      <c r="C22" s="6" t="s">
        <v>179</v>
      </c>
      <c r="D22" s="6" t="s">
        <v>112</v>
      </c>
      <c r="E22" s="6" t="s">
        <v>113</v>
      </c>
      <c r="F22" s="6" t="s">
        <v>180</v>
      </c>
      <c r="G22" s="6" t="s">
        <v>181</v>
      </c>
      <c r="H22" s="6" t="s">
        <v>70</v>
      </c>
      <c r="I22" s="6" t="s">
        <v>182</v>
      </c>
      <c r="J22" s="15">
        <v>14900</v>
      </c>
      <c r="K22" s="6" t="s">
        <v>183</v>
      </c>
      <c r="L22" s="6" t="s">
        <v>98</v>
      </c>
    </row>
    <row r="23" spans="2:12" ht="15.75" customHeight="1" x14ac:dyDescent="0.25">
      <c r="B23" s="6" t="s">
        <v>184</v>
      </c>
      <c r="C23" s="6" t="s">
        <v>185</v>
      </c>
      <c r="D23" s="6" t="s">
        <v>152</v>
      </c>
      <c r="E23" s="6" t="s">
        <v>153</v>
      </c>
      <c r="F23" s="6" t="s">
        <v>186</v>
      </c>
      <c r="G23" s="6" t="s">
        <v>187</v>
      </c>
      <c r="H23" s="6" t="s">
        <v>67</v>
      </c>
      <c r="I23" s="6" t="s">
        <v>188</v>
      </c>
      <c r="J23" s="15">
        <v>9118.08</v>
      </c>
      <c r="K23" s="6" t="s">
        <v>97</v>
      </c>
      <c r="L23" s="6" t="s">
        <v>98</v>
      </c>
    </row>
    <row r="24" spans="2:12" ht="15.75" customHeight="1" x14ac:dyDescent="0.25">
      <c r="B24" s="6" t="s">
        <v>189</v>
      </c>
      <c r="C24" s="6" t="s">
        <v>190</v>
      </c>
      <c r="D24" s="6" t="s">
        <v>105</v>
      </c>
      <c r="E24" s="6" t="s">
        <v>106</v>
      </c>
      <c r="F24" s="6" t="s">
        <v>191</v>
      </c>
      <c r="G24" s="6" t="s">
        <v>192</v>
      </c>
      <c r="H24" s="6" t="s">
        <v>73</v>
      </c>
      <c r="I24" s="6" t="s">
        <v>193</v>
      </c>
      <c r="J24" s="15">
        <v>527.24</v>
      </c>
      <c r="K24" s="6" t="s">
        <v>97</v>
      </c>
      <c r="L24" s="6" t="s">
        <v>98</v>
      </c>
    </row>
    <row r="25" spans="2:12" ht="15.75" customHeight="1" x14ac:dyDescent="0.25">
      <c r="B25" s="6" t="s">
        <v>194</v>
      </c>
      <c r="C25" s="6" t="s">
        <v>195</v>
      </c>
      <c r="D25" s="6" t="s">
        <v>92</v>
      </c>
      <c r="E25" s="6" t="s">
        <v>93</v>
      </c>
      <c r="F25" s="6" t="s">
        <v>196</v>
      </c>
      <c r="G25" s="6" t="s">
        <v>197</v>
      </c>
      <c r="H25" s="6" t="s">
        <v>69</v>
      </c>
      <c r="I25" s="6" t="s">
        <v>123</v>
      </c>
      <c r="J25" s="15">
        <v>4228.79</v>
      </c>
      <c r="K25" s="6" t="s">
        <v>97</v>
      </c>
      <c r="L25" s="6" t="s">
        <v>98</v>
      </c>
    </row>
    <row r="26" spans="2:12" ht="15.75" customHeight="1" x14ac:dyDescent="0.25">
      <c r="B26" s="6" t="s">
        <v>198</v>
      </c>
      <c r="C26" s="6" t="s">
        <v>199</v>
      </c>
      <c r="D26" s="6" t="s">
        <v>143</v>
      </c>
      <c r="E26" s="6" t="s">
        <v>144</v>
      </c>
      <c r="F26" s="6" t="s">
        <v>200</v>
      </c>
      <c r="G26" s="6" t="s">
        <v>201</v>
      </c>
      <c r="H26" s="6" t="s">
        <v>71</v>
      </c>
      <c r="I26" s="6" t="s">
        <v>202</v>
      </c>
      <c r="J26" s="15">
        <v>2242.85</v>
      </c>
      <c r="K26" s="6" t="s">
        <v>97</v>
      </c>
      <c r="L26" s="6" t="s">
        <v>98</v>
      </c>
    </row>
    <row r="27" spans="2:12" ht="15.75" customHeight="1" x14ac:dyDescent="0.25">
      <c r="B27" s="6" t="s">
        <v>203</v>
      </c>
      <c r="C27" s="6" t="s">
        <v>204</v>
      </c>
      <c r="D27" s="6" t="s">
        <v>132</v>
      </c>
      <c r="E27" s="6" t="s">
        <v>133</v>
      </c>
      <c r="F27" s="6" t="s">
        <v>205</v>
      </c>
      <c r="G27" s="6" t="s">
        <v>206</v>
      </c>
      <c r="H27" s="6" t="s">
        <v>72</v>
      </c>
      <c r="I27" s="6" t="s">
        <v>207</v>
      </c>
      <c r="J27" s="15">
        <v>5820</v>
      </c>
      <c r="K27" s="6" t="s">
        <v>97</v>
      </c>
      <c r="L27" s="6" t="s">
        <v>208</v>
      </c>
    </row>
    <row r="28" spans="2:12" ht="15.75" customHeight="1" x14ac:dyDescent="0.25">
      <c r="B28" s="6" t="s">
        <v>209</v>
      </c>
      <c r="C28" s="6" t="s">
        <v>210</v>
      </c>
      <c r="D28" s="6" t="s">
        <v>92</v>
      </c>
      <c r="E28" s="6" t="s">
        <v>93</v>
      </c>
      <c r="F28" s="6" t="s">
        <v>211</v>
      </c>
      <c r="G28" s="6" t="s">
        <v>197</v>
      </c>
      <c r="H28" s="6" t="s">
        <v>69</v>
      </c>
      <c r="I28" s="6" t="s">
        <v>212</v>
      </c>
      <c r="J28" s="15">
        <v>9561.23</v>
      </c>
      <c r="K28" s="6" t="s">
        <v>97</v>
      </c>
      <c r="L28" s="6" t="s">
        <v>98</v>
      </c>
    </row>
    <row r="29" spans="2:12" ht="15.75" customHeight="1" x14ac:dyDescent="0.25">
      <c r="B29" s="6" t="s">
        <v>213</v>
      </c>
      <c r="C29" s="6" t="s">
        <v>214</v>
      </c>
      <c r="D29" s="6" t="s">
        <v>112</v>
      </c>
      <c r="E29" s="6" t="s">
        <v>113</v>
      </c>
      <c r="F29" s="6" t="s">
        <v>215</v>
      </c>
      <c r="G29" s="6" t="s">
        <v>216</v>
      </c>
      <c r="H29" s="6" t="s">
        <v>70</v>
      </c>
      <c r="I29" s="6" t="s">
        <v>217</v>
      </c>
      <c r="J29" s="15">
        <v>7794</v>
      </c>
      <c r="K29" s="6" t="s">
        <v>97</v>
      </c>
      <c r="L29" s="6" t="s">
        <v>98</v>
      </c>
    </row>
    <row r="30" spans="2:12" ht="15.75" customHeight="1" x14ac:dyDescent="0.25">
      <c r="B30" s="6" t="s">
        <v>218</v>
      </c>
      <c r="C30" s="6" t="s">
        <v>219</v>
      </c>
      <c r="D30" s="6" t="s">
        <v>112</v>
      </c>
      <c r="E30" s="6" t="s">
        <v>113</v>
      </c>
      <c r="F30" s="6" t="s">
        <v>220</v>
      </c>
      <c r="G30" s="6" t="s">
        <v>221</v>
      </c>
      <c r="H30" s="6" t="s">
        <v>70</v>
      </c>
      <c r="I30" s="6" t="s">
        <v>222</v>
      </c>
      <c r="J30" s="15">
        <v>13873.17</v>
      </c>
      <c r="K30" s="6" t="s">
        <v>97</v>
      </c>
      <c r="L30" s="6" t="s">
        <v>98</v>
      </c>
    </row>
    <row r="31" spans="2:12" ht="15.75" customHeight="1" x14ac:dyDescent="0.25">
      <c r="B31" s="6" t="s">
        <v>223</v>
      </c>
      <c r="C31" s="6" t="s">
        <v>224</v>
      </c>
      <c r="D31" s="6" t="s">
        <v>143</v>
      </c>
      <c r="E31" s="6" t="s">
        <v>144</v>
      </c>
      <c r="F31" s="6" t="s">
        <v>225</v>
      </c>
      <c r="G31" s="6" t="s">
        <v>226</v>
      </c>
      <c r="H31" s="6" t="s">
        <v>71</v>
      </c>
      <c r="I31" s="6" t="s">
        <v>202</v>
      </c>
      <c r="J31" s="15">
        <v>396.9</v>
      </c>
      <c r="K31" s="6" t="s">
        <v>97</v>
      </c>
      <c r="L31" s="6" t="s">
        <v>98</v>
      </c>
    </row>
    <row r="32" spans="2:12" ht="15.75" customHeight="1" x14ac:dyDescent="0.25">
      <c r="B32" s="6" t="s">
        <v>198</v>
      </c>
      <c r="C32" s="6" t="s">
        <v>227</v>
      </c>
      <c r="D32" s="6" t="s">
        <v>143</v>
      </c>
      <c r="E32" s="6" t="s">
        <v>144</v>
      </c>
      <c r="F32" s="6" t="s">
        <v>228</v>
      </c>
      <c r="G32" s="6" t="s">
        <v>206</v>
      </c>
      <c r="H32" s="6" t="s">
        <v>71</v>
      </c>
      <c r="I32" s="6" t="s">
        <v>229</v>
      </c>
      <c r="J32" s="15">
        <v>1936.31</v>
      </c>
      <c r="K32" s="6" t="s">
        <v>97</v>
      </c>
      <c r="L32" s="6" t="s">
        <v>98</v>
      </c>
    </row>
    <row r="33" spans="2:12" ht="15.75" customHeight="1" x14ac:dyDescent="0.25">
      <c r="B33" s="6" t="s">
        <v>230</v>
      </c>
      <c r="C33" s="6" t="s">
        <v>231</v>
      </c>
      <c r="D33" s="6" t="s">
        <v>105</v>
      </c>
      <c r="E33" s="6" t="s">
        <v>106</v>
      </c>
      <c r="F33" s="6" t="s">
        <v>232</v>
      </c>
      <c r="G33" s="6" t="s">
        <v>187</v>
      </c>
      <c r="H33" s="6" t="s">
        <v>73</v>
      </c>
      <c r="I33" s="6" t="s">
        <v>233</v>
      </c>
      <c r="J33" s="15">
        <v>203.6</v>
      </c>
      <c r="K33" s="6" t="s">
        <v>97</v>
      </c>
      <c r="L33" s="6" t="s">
        <v>98</v>
      </c>
    </row>
    <row r="34" spans="2:12" ht="15.75" customHeight="1" x14ac:dyDescent="0.25">
      <c r="B34" s="6" t="s">
        <v>234</v>
      </c>
      <c r="C34" s="6" t="s">
        <v>235</v>
      </c>
      <c r="D34" s="6" t="s">
        <v>132</v>
      </c>
      <c r="E34" s="6" t="s">
        <v>133</v>
      </c>
      <c r="F34" s="6" t="s">
        <v>236</v>
      </c>
      <c r="G34" s="6" t="s">
        <v>237</v>
      </c>
      <c r="H34" s="6" t="s">
        <v>72</v>
      </c>
      <c r="I34" s="6" t="s">
        <v>238</v>
      </c>
      <c r="J34" s="15">
        <v>1249.07</v>
      </c>
      <c r="K34" s="6" t="s">
        <v>97</v>
      </c>
      <c r="L34" s="6" t="s">
        <v>98</v>
      </c>
    </row>
    <row r="35" spans="2:12" ht="15.75" customHeight="1" x14ac:dyDescent="0.25">
      <c r="B35" s="6" t="s">
        <v>239</v>
      </c>
      <c r="C35" s="6" t="s">
        <v>240</v>
      </c>
      <c r="D35" s="6" t="s">
        <v>119</v>
      </c>
      <c r="E35" s="6" t="s">
        <v>120</v>
      </c>
      <c r="F35" s="6" t="s">
        <v>241</v>
      </c>
      <c r="G35" s="6" t="s">
        <v>242</v>
      </c>
      <c r="H35" s="6" t="s">
        <v>69</v>
      </c>
      <c r="I35" s="6" t="s">
        <v>212</v>
      </c>
      <c r="J35" s="15">
        <v>9277.27</v>
      </c>
      <c r="K35" s="6" t="s">
        <v>97</v>
      </c>
      <c r="L35" s="6" t="s">
        <v>98</v>
      </c>
    </row>
    <row r="36" spans="2:12" ht="15.75" customHeight="1" x14ac:dyDescent="0.25">
      <c r="B36" s="6" t="s">
        <v>169</v>
      </c>
      <c r="C36" s="6" t="s">
        <v>243</v>
      </c>
      <c r="D36" s="6" t="s">
        <v>152</v>
      </c>
      <c r="E36" s="6" t="s">
        <v>153</v>
      </c>
      <c r="F36" s="6" t="s">
        <v>244</v>
      </c>
      <c r="G36" s="6" t="s">
        <v>245</v>
      </c>
      <c r="H36" s="6" t="s">
        <v>67</v>
      </c>
      <c r="I36" s="6" t="s">
        <v>188</v>
      </c>
      <c r="J36" s="15">
        <v>27884.560000000001</v>
      </c>
      <c r="K36" s="6" t="s">
        <v>97</v>
      </c>
      <c r="L36" s="6" t="s">
        <v>98</v>
      </c>
    </row>
    <row r="37" spans="2:12" ht="15.75" customHeight="1" x14ac:dyDescent="0.25">
      <c r="B37" s="6" t="s">
        <v>246</v>
      </c>
      <c r="C37" s="6" t="s">
        <v>247</v>
      </c>
      <c r="D37" s="6"/>
      <c r="E37" s="6" t="s">
        <v>101</v>
      </c>
      <c r="F37" s="6"/>
      <c r="G37" s="6"/>
      <c r="H37" s="6" t="s">
        <v>68</v>
      </c>
      <c r="I37" s="6" t="s">
        <v>102</v>
      </c>
      <c r="J37" s="15">
        <v>23350.91</v>
      </c>
      <c r="K37" s="6" t="s">
        <v>97</v>
      </c>
      <c r="L37" s="6" t="s">
        <v>98</v>
      </c>
    </row>
    <row r="38" spans="2:12" ht="15.75" customHeight="1" x14ac:dyDescent="0.25">
      <c r="B38" s="6" t="s">
        <v>209</v>
      </c>
      <c r="C38" s="6" t="s">
        <v>248</v>
      </c>
      <c r="D38" s="6" t="s">
        <v>152</v>
      </c>
      <c r="E38" s="6" t="s">
        <v>153</v>
      </c>
      <c r="F38" s="6" t="s">
        <v>249</v>
      </c>
      <c r="G38" s="6" t="s">
        <v>167</v>
      </c>
      <c r="H38" s="6" t="s">
        <v>67</v>
      </c>
      <c r="I38" s="6" t="s">
        <v>156</v>
      </c>
      <c r="J38" s="15">
        <v>21772.400000000001</v>
      </c>
      <c r="K38" s="6" t="s">
        <v>97</v>
      </c>
      <c r="L38" s="6" t="s">
        <v>98</v>
      </c>
    </row>
    <row r="39" spans="2:12" ht="15.75" customHeight="1" x14ac:dyDescent="0.25">
      <c r="B39" s="6" t="s">
        <v>250</v>
      </c>
      <c r="C39" s="6" t="s">
        <v>251</v>
      </c>
      <c r="D39" s="6" t="s">
        <v>112</v>
      </c>
      <c r="E39" s="6" t="s">
        <v>113</v>
      </c>
      <c r="F39" s="6" t="s">
        <v>252</v>
      </c>
      <c r="G39" s="6" t="s">
        <v>253</v>
      </c>
      <c r="H39" s="6" t="s">
        <v>70</v>
      </c>
      <c r="I39" s="6" t="s">
        <v>222</v>
      </c>
      <c r="J39" s="15">
        <v>2603.16</v>
      </c>
      <c r="K39" s="6" t="s">
        <v>97</v>
      </c>
      <c r="L39" s="6" t="s">
        <v>98</v>
      </c>
    </row>
    <row r="40" spans="2:12" ht="15.75" customHeight="1" x14ac:dyDescent="0.25">
      <c r="B40" s="6" t="s">
        <v>218</v>
      </c>
      <c r="C40" s="6" t="s">
        <v>254</v>
      </c>
      <c r="D40" s="6" t="s">
        <v>152</v>
      </c>
      <c r="E40" s="6" t="s">
        <v>153</v>
      </c>
      <c r="F40" s="6" t="s">
        <v>255</v>
      </c>
      <c r="G40" s="6" t="s">
        <v>108</v>
      </c>
      <c r="H40" s="6" t="s">
        <v>67</v>
      </c>
      <c r="I40" s="6" t="s">
        <v>156</v>
      </c>
      <c r="J40" s="15">
        <v>14684.44</v>
      </c>
      <c r="K40" s="6" t="s">
        <v>97</v>
      </c>
      <c r="L40" s="6" t="s">
        <v>98</v>
      </c>
    </row>
    <row r="41" spans="2:12" ht="15.75" customHeight="1" x14ac:dyDescent="0.25">
      <c r="B41" s="6" t="s">
        <v>256</v>
      </c>
      <c r="C41" s="6" t="s">
        <v>257</v>
      </c>
      <c r="D41" s="6" t="s">
        <v>112</v>
      </c>
      <c r="E41" s="6" t="s">
        <v>113</v>
      </c>
      <c r="F41" s="6" t="s">
        <v>258</v>
      </c>
      <c r="G41" s="6" t="s">
        <v>259</v>
      </c>
      <c r="H41" s="6" t="s">
        <v>70</v>
      </c>
      <c r="I41" s="6" t="s">
        <v>222</v>
      </c>
      <c r="J41" s="15">
        <v>2498.84</v>
      </c>
      <c r="K41" s="6" t="s">
        <v>97</v>
      </c>
      <c r="L41" s="6" t="s">
        <v>98</v>
      </c>
    </row>
    <row r="42" spans="2:12" ht="15.75" customHeight="1" x14ac:dyDescent="0.25">
      <c r="B42" s="6" t="s">
        <v>260</v>
      </c>
      <c r="C42" s="6" t="s">
        <v>261</v>
      </c>
      <c r="D42" s="6" t="s">
        <v>112</v>
      </c>
      <c r="E42" s="6" t="s">
        <v>113</v>
      </c>
      <c r="F42" s="6" t="s">
        <v>262</v>
      </c>
      <c r="G42" s="6" t="s">
        <v>263</v>
      </c>
      <c r="H42" s="6" t="s">
        <v>70</v>
      </c>
      <c r="I42" s="6" t="s">
        <v>217</v>
      </c>
      <c r="J42" s="15">
        <v>2924.58</v>
      </c>
      <c r="K42" s="6" t="s">
        <v>97</v>
      </c>
      <c r="L42" s="6" t="s">
        <v>98</v>
      </c>
    </row>
    <row r="43" spans="2:12" ht="15.75" customHeight="1" x14ac:dyDescent="0.25">
      <c r="B43" s="6" t="s">
        <v>150</v>
      </c>
      <c r="C43" s="6" t="s">
        <v>264</v>
      </c>
      <c r="D43" s="6" t="s">
        <v>143</v>
      </c>
      <c r="E43" s="6" t="s">
        <v>144</v>
      </c>
      <c r="F43" s="6" t="s">
        <v>265</v>
      </c>
      <c r="G43" s="6" t="s">
        <v>266</v>
      </c>
      <c r="H43" s="6" t="s">
        <v>71</v>
      </c>
      <c r="I43" s="6" t="s">
        <v>229</v>
      </c>
      <c r="J43" s="15">
        <v>1053.8</v>
      </c>
      <c r="K43" s="6" t="s">
        <v>97</v>
      </c>
      <c r="L43" s="6" t="s">
        <v>98</v>
      </c>
    </row>
    <row r="44" spans="2:12" ht="15.75" customHeight="1" x14ac:dyDescent="0.25">
      <c r="B44" s="6" t="s">
        <v>267</v>
      </c>
      <c r="C44" s="6" t="s">
        <v>268</v>
      </c>
      <c r="D44" s="6" t="s">
        <v>105</v>
      </c>
      <c r="E44" s="6" t="s">
        <v>106</v>
      </c>
      <c r="F44" s="6" t="s">
        <v>269</v>
      </c>
      <c r="G44" s="6" t="s">
        <v>270</v>
      </c>
      <c r="H44" s="6" t="s">
        <v>73</v>
      </c>
      <c r="I44" s="6" t="s">
        <v>233</v>
      </c>
      <c r="J44" s="15">
        <v>651.5</v>
      </c>
      <c r="K44" s="6" t="s">
        <v>97</v>
      </c>
      <c r="L44" s="6" t="s">
        <v>98</v>
      </c>
    </row>
    <row r="45" spans="2:12" ht="15.75" customHeight="1" x14ac:dyDescent="0.25">
      <c r="B45" s="6" t="s">
        <v>271</v>
      </c>
      <c r="C45" s="6" t="s">
        <v>272</v>
      </c>
      <c r="D45" s="6" t="s">
        <v>92</v>
      </c>
      <c r="E45" s="6" t="s">
        <v>93</v>
      </c>
      <c r="F45" s="6" t="s">
        <v>273</v>
      </c>
      <c r="G45" s="6" t="s">
        <v>140</v>
      </c>
      <c r="H45" s="6" t="s">
        <v>69</v>
      </c>
      <c r="I45" s="6" t="s">
        <v>274</v>
      </c>
      <c r="J45" s="15">
        <v>4315.3900000000003</v>
      </c>
      <c r="K45" s="6" t="s">
        <v>97</v>
      </c>
      <c r="L45" s="6" t="s">
        <v>98</v>
      </c>
    </row>
    <row r="46" spans="2:12" ht="15.75" customHeight="1" x14ac:dyDescent="0.25">
      <c r="B46" s="6" t="s">
        <v>275</v>
      </c>
      <c r="C46" s="6" t="s">
        <v>276</v>
      </c>
      <c r="D46" s="6" t="s">
        <v>132</v>
      </c>
      <c r="E46" s="6" t="s">
        <v>133</v>
      </c>
      <c r="F46" s="6" t="s">
        <v>277</v>
      </c>
      <c r="G46" s="6" t="s">
        <v>278</v>
      </c>
      <c r="H46" s="6" t="s">
        <v>72</v>
      </c>
      <c r="I46" s="6" t="s">
        <v>136</v>
      </c>
      <c r="J46" s="15">
        <v>2440.58</v>
      </c>
      <c r="K46" s="6" t="s">
        <v>97</v>
      </c>
      <c r="L46" s="6" t="s">
        <v>98</v>
      </c>
    </row>
    <row r="47" spans="2:12" ht="15.75" customHeight="1" x14ac:dyDescent="0.25">
      <c r="B47" s="6" t="s">
        <v>279</v>
      </c>
      <c r="C47" s="6" t="s">
        <v>280</v>
      </c>
      <c r="D47" s="6" t="s">
        <v>125</v>
      </c>
      <c r="E47" s="6" t="s">
        <v>126</v>
      </c>
      <c r="F47" s="6" t="s">
        <v>281</v>
      </c>
      <c r="G47" s="6" t="s">
        <v>282</v>
      </c>
      <c r="H47" s="6" t="s">
        <v>74</v>
      </c>
      <c r="I47" s="6" t="s">
        <v>129</v>
      </c>
      <c r="J47" s="15">
        <v>519.02</v>
      </c>
      <c r="K47" s="6" t="s">
        <v>97</v>
      </c>
      <c r="L47" s="6" t="s">
        <v>98</v>
      </c>
    </row>
    <row r="48" spans="2:12" ht="15.75" customHeight="1" x14ac:dyDescent="0.25">
      <c r="B48" s="6" t="s">
        <v>110</v>
      </c>
      <c r="C48" s="6" t="s">
        <v>283</v>
      </c>
      <c r="D48" s="6" t="s">
        <v>143</v>
      </c>
      <c r="E48" s="6" t="s">
        <v>144</v>
      </c>
      <c r="F48" s="6" t="s">
        <v>284</v>
      </c>
      <c r="G48" s="6"/>
      <c r="H48" s="6" t="s">
        <v>71</v>
      </c>
      <c r="I48" s="6" t="s">
        <v>285</v>
      </c>
      <c r="J48" s="15">
        <v>3280.91</v>
      </c>
      <c r="K48" s="6" t="s">
        <v>97</v>
      </c>
      <c r="L48" s="6" t="s">
        <v>98</v>
      </c>
    </row>
    <row r="49" spans="2:12" ht="15.75" customHeight="1" x14ac:dyDescent="0.25">
      <c r="B49" s="6" t="s">
        <v>286</v>
      </c>
      <c r="C49" s="6" t="s">
        <v>287</v>
      </c>
      <c r="D49" s="6" t="s">
        <v>152</v>
      </c>
      <c r="E49" s="6" t="s">
        <v>153</v>
      </c>
      <c r="F49" s="6" t="s">
        <v>288</v>
      </c>
      <c r="G49" s="6" t="s">
        <v>289</v>
      </c>
      <c r="H49" s="6" t="s">
        <v>67</v>
      </c>
      <c r="I49" s="6" t="s">
        <v>290</v>
      </c>
      <c r="J49" s="15">
        <v>28888.74</v>
      </c>
      <c r="K49" s="6" t="s">
        <v>97</v>
      </c>
      <c r="L49" s="6" t="s">
        <v>98</v>
      </c>
    </row>
    <row r="50" spans="2:12" ht="15.75" customHeight="1" x14ac:dyDescent="0.25">
      <c r="B50" s="6" t="s">
        <v>203</v>
      </c>
      <c r="C50" s="6" t="s">
        <v>291</v>
      </c>
      <c r="D50" s="6" t="s">
        <v>119</v>
      </c>
      <c r="E50" s="6" t="s">
        <v>120</v>
      </c>
      <c r="F50" s="6" t="s">
        <v>292</v>
      </c>
      <c r="G50" s="6" t="s">
        <v>293</v>
      </c>
      <c r="H50" s="6" t="s">
        <v>69</v>
      </c>
      <c r="I50" s="6" t="s">
        <v>207</v>
      </c>
      <c r="J50" s="15">
        <v>22400</v>
      </c>
      <c r="K50" s="6" t="s">
        <v>97</v>
      </c>
      <c r="L50" s="6" t="s">
        <v>208</v>
      </c>
    </row>
    <row r="51" spans="2:12" ht="15.75" customHeight="1" x14ac:dyDescent="0.25">
      <c r="B51" s="6" t="s">
        <v>294</v>
      </c>
      <c r="C51" s="6" t="s">
        <v>295</v>
      </c>
      <c r="D51" s="6" t="s">
        <v>125</v>
      </c>
      <c r="E51" s="6" t="s">
        <v>126</v>
      </c>
      <c r="F51" s="6" t="s">
        <v>296</v>
      </c>
      <c r="G51" s="6" t="s">
        <v>263</v>
      </c>
      <c r="H51" s="6" t="s">
        <v>74</v>
      </c>
      <c r="I51" s="6" t="s">
        <v>168</v>
      </c>
      <c r="J51" s="15">
        <v>333.65</v>
      </c>
      <c r="K51" s="6" t="s">
        <v>97</v>
      </c>
      <c r="L51" s="6" t="s">
        <v>98</v>
      </c>
    </row>
    <row r="52" spans="2:12" ht="15.75" customHeight="1" x14ac:dyDescent="0.25">
      <c r="B52" s="6" t="s">
        <v>297</v>
      </c>
      <c r="C52" s="6" t="s">
        <v>298</v>
      </c>
      <c r="D52" s="6" t="s">
        <v>105</v>
      </c>
      <c r="E52" s="6" t="s">
        <v>106</v>
      </c>
      <c r="F52" s="6" t="s">
        <v>299</v>
      </c>
      <c r="G52" s="6" t="s">
        <v>300</v>
      </c>
      <c r="H52" s="6" t="s">
        <v>73</v>
      </c>
      <c r="I52" s="6" t="s">
        <v>193</v>
      </c>
      <c r="J52" s="15">
        <v>239.87</v>
      </c>
      <c r="K52" s="6" t="s">
        <v>97</v>
      </c>
      <c r="L52" s="6" t="s">
        <v>98</v>
      </c>
    </row>
    <row r="53" spans="2:12" ht="15.75" customHeight="1" x14ac:dyDescent="0.25">
      <c r="B53" s="6" t="s">
        <v>301</v>
      </c>
      <c r="C53" s="6" t="s">
        <v>302</v>
      </c>
      <c r="D53" s="6" t="s">
        <v>119</v>
      </c>
      <c r="E53" s="6" t="s">
        <v>120</v>
      </c>
      <c r="F53" s="6" t="s">
        <v>303</v>
      </c>
      <c r="G53" s="6" t="s">
        <v>304</v>
      </c>
      <c r="H53" s="6" t="s">
        <v>69</v>
      </c>
      <c r="I53" s="6" t="s">
        <v>212</v>
      </c>
      <c r="J53" s="15">
        <v>17172.439999999999</v>
      </c>
      <c r="K53" s="6" t="s">
        <v>97</v>
      </c>
      <c r="L53" s="6" t="s">
        <v>98</v>
      </c>
    </row>
    <row r="54" spans="2:12" ht="15.75" customHeight="1" x14ac:dyDescent="0.25">
      <c r="B54" s="6" t="s">
        <v>305</v>
      </c>
      <c r="C54" s="6" t="s">
        <v>306</v>
      </c>
      <c r="D54" s="6" t="s">
        <v>119</v>
      </c>
      <c r="E54" s="6" t="s">
        <v>120</v>
      </c>
      <c r="F54" s="6" t="s">
        <v>307</v>
      </c>
      <c r="G54" s="6" t="s">
        <v>308</v>
      </c>
      <c r="H54" s="6" t="s">
        <v>69</v>
      </c>
      <c r="I54" s="6" t="s">
        <v>96</v>
      </c>
      <c r="J54" s="15">
        <v>11904.54</v>
      </c>
      <c r="K54" s="6" t="s">
        <v>97</v>
      </c>
      <c r="L54" s="6" t="s">
        <v>98</v>
      </c>
    </row>
    <row r="55" spans="2:12" ht="15.75" customHeight="1" x14ac:dyDescent="0.25">
      <c r="B55" s="6" t="s">
        <v>309</v>
      </c>
      <c r="C55" s="6" t="s">
        <v>310</v>
      </c>
      <c r="D55" s="6" t="s">
        <v>112</v>
      </c>
      <c r="E55" s="6" t="s">
        <v>113</v>
      </c>
      <c r="F55" s="6" t="s">
        <v>311</v>
      </c>
      <c r="G55" s="6" t="s">
        <v>259</v>
      </c>
      <c r="H55" s="6" t="s">
        <v>70</v>
      </c>
      <c r="I55" s="6" t="s">
        <v>312</v>
      </c>
      <c r="J55" s="15">
        <v>2450.6999999999998</v>
      </c>
      <c r="K55" s="6" t="s">
        <v>97</v>
      </c>
      <c r="L55" s="6" t="s">
        <v>98</v>
      </c>
    </row>
    <row r="56" spans="2:12" ht="15.75" customHeight="1" x14ac:dyDescent="0.25">
      <c r="B56" s="6" t="s">
        <v>313</v>
      </c>
      <c r="C56" s="6" t="s">
        <v>314</v>
      </c>
      <c r="D56" s="6"/>
      <c r="E56" s="6" t="s">
        <v>101</v>
      </c>
      <c r="F56" s="6"/>
      <c r="G56" s="6"/>
      <c r="H56" s="6" t="s">
        <v>68</v>
      </c>
      <c r="I56" s="6" t="s">
        <v>102</v>
      </c>
      <c r="J56" s="15">
        <v>23057.77</v>
      </c>
      <c r="K56" s="6" t="s">
        <v>97</v>
      </c>
      <c r="L56" s="6" t="s">
        <v>98</v>
      </c>
    </row>
    <row r="57" spans="2:12" ht="15.75" customHeight="1" x14ac:dyDescent="0.25">
      <c r="B57" s="6" t="s">
        <v>315</v>
      </c>
      <c r="C57" s="6" t="s">
        <v>316</v>
      </c>
      <c r="D57" s="6" t="s">
        <v>112</v>
      </c>
      <c r="E57" s="6" t="s">
        <v>113</v>
      </c>
      <c r="F57" s="6" t="s">
        <v>317</v>
      </c>
      <c r="G57" s="6" t="s">
        <v>318</v>
      </c>
      <c r="H57" s="6" t="s">
        <v>70</v>
      </c>
      <c r="I57" s="6" t="s">
        <v>312</v>
      </c>
      <c r="J57" s="15">
        <v>3883.13</v>
      </c>
      <c r="K57" s="6" t="s">
        <v>97</v>
      </c>
      <c r="L57" s="6" t="s">
        <v>98</v>
      </c>
    </row>
    <row r="58" spans="2:12" ht="15.75" customHeight="1" x14ac:dyDescent="0.25">
      <c r="B58" s="6" t="s">
        <v>319</v>
      </c>
      <c r="C58" s="6" t="s">
        <v>320</v>
      </c>
      <c r="D58" s="6" t="s">
        <v>119</v>
      </c>
      <c r="E58" s="6" t="s">
        <v>120</v>
      </c>
      <c r="F58" s="6" t="s">
        <v>321</v>
      </c>
      <c r="G58" s="6" t="s">
        <v>221</v>
      </c>
      <c r="H58" s="6" t="s">
        <v>69</v>
      </c>
      <c r="I58" s="6" t="s">
        <v>212</v>
      </c>
      <c r="J58" s="15">
        <v>9414.3799999999992</v>
      </c>
      <c r="K58" s="6" t="s">
        <v>97</v>
      </c>
      <c r="L58" s="6" t="s">
        <v>98</v>
      </c>
    </row>
    <row r="59" spans="2:12" ht="15.75" customHeight="1" x14ac:dyDescent="0.25">
      <c r="B59" s="6" t="s">
        <v>322</v>
      </c>
      <c r="C59" s="6" t="s">
        <v>323</v>
      </c>
      <c r="D59" s="6"/>
      <c r="E59" s="6" t="s">
        <v>101</v>
      </c>
      <c r="F59" s="6"/>
      <c r="G59" s="6"/>
      <c r="H59" s="6" t="s">
        <v>68</v>
      </c>
      <c r="I59" s="6" t="s">
        <v>102</v>
      </c>
      <c r="J59" s="15">
        <v>20318.759999999998</v>
      </c>
      <c r="K59" s="6" t="s">
        <v>97</v>
      </c>
      <c r="L59" s="6" t="s">
        <v>98</v>
      </c>
    </row>
    <row r="60" spans="2:12" ht="15.75" customHeight="1" x14ac:dyDescent="0.25">
      <c r="B60" s="6" t="s">
        <v>324</v>
      </c>
      <c r="C60" s="6" t="s">
        <v>325</v>
      </c>
      <c r="D60" s="6" t="s">
        <v>132</v>
      </c>
      <c r="E60" s="6" t="s">
        <v>133</v>
      </c>
      <c r="F60" s="6" t="s">
        <v>326</v>
      </c>
      <c r="G60" s="6" t="s">
        <v>327</v>
      </c>
      <c r="H60" s="6" t="s">
        <v>72</v>
      </c>
      <c r="I60" s="6" t="s">
        <v>136</v>
      </c>
      <c r="J60" s="15">
        <v>2876.33</v>
      </c>
      <c r="K60" s="6" t="s">
        <v>97</v>
      </c>
      <c r="L60" s="6" t="s">
        <v>98</v>
      </c>
    </row>
    <row r="61" spans="2:12" ht="15.75" customHeight="1" x14ac:dyDescent="0.25">
      <c r="B61" s="6" t="s">
        <v>328</v>
      </c>
      <c r="C61" s="6" t="s">
        <v>329</v>
      </c>
      <c r="D61" s="6" t="s">
        <v>92</v>
      </c>
      <c r="E61" s="6" t="s">
        <v>93</v>
      </c>
      <c r="F61" s="6" t="s">
        <v>330</v>
      </c>
      <c r="G61" s="6" t="s">
        <v>270</v>
      </c>
      <c r="H61" s="6" t="s">
        <v>69</v>
      </c>
      <c r="I61" s="6" t="s">
        <v>96</v>
      </c>
      <c r="J61" s="15">
        <v>9334.2900000000009</v>
      </c>
      <c r="K61" s="6" t="s">
        <v>97</v>
      </c>
      <c r="L61" s="6" t="s">
        <v>98</v>
      </c>
    </row>
    <row r="62" spans="2:12" ht="15.75" customHeight="1" x14ac:dyDescent="0.25">
      <c r="B62" s="6" t="s">
        <v>286</v>
      </c>
      <c r="C62" s="6" t="s">
        <v>331</v>
      </c>
      <c r="D62" s="6" t="s">
        <v>143</v>
      </c>
      <c r="E62" s="6" t="s">
        <v>144</v>
      </c>
      <c r="F62" s="6" t="s">
        <v>332</v>
      </c>
      <c r="G62" s="6" t="s">
        <v>333</v>
      </c>
      <c r="H62" s="6" t="s">
        <v>71</v>
      </c>
      <c r="I62" s="6" t="s">
        <v>229</v>
      </c>
      <c r="J62" s="15">
        <v>932.85</v>
      </c>
      <c r="K62" s="6" t="s">
        <v>97</v>
      </c>
      <c r="L62" s="6" t="s">
        <v>98</v>
      </c>
    </row>
    <row r="63" spans="2:12" ht="15.75" customHeight="1" x14ac:dyDescent="0.25">
      <c r="B63" s="6" t="s">
        <v>334</v>
      </c>
      <c r="C63" s="6" t="s">
        <v>335</v>
      </c>
      <c r="D63" s="6" t="s">
        <v>119</v>
      </c>
      <c r="E63" s="6" t="s">
        <v>120</v>
      </c>
      <c r="F63" s="6" t="s">
        <v>336</v>
      </c>
      <c r="G63" s="6" t="s">
        <v>337</v>
      </c>
      <c r="H63" s="6" t="s">
        <v>69</v>
      </c>
      <c r="I63" s="6" t="s">
        <v>274</v>
      </c>
      <c r="J63" s="15">
        <v>17594.78</v>
      </c>
      <c r="K63" s="6" t="s">
        <v>97</v>
      </c>
      <c r="L63" s="6" t="s">
        <v>98</v>
      </c>
    </row>
    <row r="64" spans="2:12" ht="15.75" customHeight="1" x14ac:dyDescent="0.25">
      <c r="B64" s="6" t="s">
        <v>338</v>
      </c>
      <c r="C64" s="6" t="s">
        <v>339</v>
      </c>
      <c r="D64" s="6"/>
      <c r="E64" s="6" t="s">
        <v>101</v>
      </c>
      <c r="F64" s="6"/>
      <c r="G64" s="6"/>
      <c r="H64" s="6" t="s">
        <v>68</v>
      </c>
      <c r="I64" s="6" t="s">
        <v>102</v>
      </c>
      <c r="J64" s="15">
        <v>15355.28</v>
      </c>
      <c r="K64" s="6" t="s">
        <v>97</v>
      </c>
      <c r="L64" s="6" t="s">
        <v>98</v>
      </c>
    </row>
    <row r="65" spans="2:12" ht="15.75" customHeight="1" x14ac:dyDescent="0.25">
      <c r="B65" s="6" t="s">
        <v>340</v>
      </c>
      <c r="C65" s="6" t="s">
        <v>341</v>
      </c>
      <c r="D65" s="6" t="s">
        <v>132</v>
      </c>
      <c r="E65" s="6" t="s">
        <v>133</v>
      </c>
      <c r="F65" s="6" t="s">
        <v>342</v>
      </c>
      <c r="G65" s="6" t="s">
        <v>343</v>
      </c>
      <c r="H65" s="6" t="s">
        <v>72</v>
      </c>
      <c r="I65" s="6" t="s">
        <v>344</v>
      </c>
      <c r="J65" s="15">
        <v>3297.81</v>
      </c>
      <c r="K65" s="6" t="s">
        <v>97</v>
      </c>
      <c r="L65" s="6" t="s">
        <v>98</v>
      </c>
    </row>
    <row r="66" spans="2:12" ht="15.75" customHeight="1" x14ac:dyDescent="0.25">
      <c r="B66" s="6" t="s">
        <v>345</v>
      </c>
      <c r="C66" s="6" t="s">
        <v>346</v>
      </c>
      <c r="D66" s="6" t="s">
        <v>105</v>
      </c>
      <c r="E66" s="6" t="s">
        <v>106</v>
      </c>
      <c r="F66" s="6" t="s">
        <v>347</v>
      </c>
      <c r="G66" s="6" t="s">
        <v>348</v>
      </c>
      <c r="H66" s="6" t="s">
        <v>73</v>
      </c>
      <c r="I66" s="6" t="s">
        <v>109</v>
      </c>
      <c r="J66" s="15">
        <v>245.73</v>
      </c>
      <c r="K66" s="6" t="s">
        <v>97</v>
      </c>
      <c r="L66" s="6" t="s">
        <v>98</v>
      </c>
    </row>
    <row r="67" spans="2:12" ht="15.75" customHeight="1" x14ac:dyDescent="0.25">
      <c r="B67" s="6" t="s">
        <v>349</v>
      </c>
      <c r="C67" s="6" t="s">
        <v>350</v>
      </c>
      <c r="D67" s="6" t="s">
        <v>125</v>
      </c>
      <c r="E67" s="6" t="s">
        <v>126</v>
      </c>
      <c r="F67" s="6" t="s">
        <v>351</v>
      </c>
      <c r="G67" s="6" t="s">
        <v>352</v>
      </c>
      <c r="H67" s="6" t="s">
        <v>74</v>
      </c>
      <c r="I67" s="6" t="s">
        <v>129</v>
      </c>
      <c r="J67" s="15">
        <v>855.13</v>
      </c>
      <c r="K67" s="6" t="s">
        <v>97</v>
      </c>
      <c r="L67" s="6" t="s">
        <v>98</v>
      </c>
    </row>
    <row r="68" spans="2:12" ht="15.75" customHeight="1" x14ac:dyDescent="0.25">
      <c r="B68" s="6" t="s">
        <v>353</v>
      </c>
      <c r="C68" s="6" t="s">
        <v>354</v>
      </c>
      <c r="D68" s="6" t="s">
        <v>105</v>
      </c>
      <c r="E68" s="6" t="s">
        <v>106</v>
      </c>
      <c r="F68" s="6" t="s">
        <v>355</v>
      </c>
      <c r="G68" s="6" t="s">
        <v>327</v>
      </c>
      <c r="H68" s="6" t="s">
        <v>73</v>
      </c>
      <c r="I68" s="6" t="s">
        <v>233</v>
      </c>
      <c r="J68" s="15">
        <v>740.51</v>
      </c>
      <c r="K68" s="6" t="s">
        <v>97</v>
      </c>
      <c r="L68" s="6" t="s">
        <v>98</v>
      </c>
    </row>
    <row r="69" spans="2:12" ht="15.75" customHeight="1" x14ac:dyDescent="0.25">
      <c r="B69" s="6" t="s">
        <v>309</v>
      </c>
      <c r="C69" s="6" t="s">
        <v>356</v>
      </c>
      <c r="D69" s="6" t="s">
        <v>112</v>
      </c>
      <c r="E69" s="6" t="s">
        <v>113</v>
      </c>
      <c r="F69" s="6" t="s">
        <v>357</v>
      </c>
      <c r="G69" s="6" t="s">
        <v>358</v>
      </c>
      <c r="H69" s="6" t="s">
        <v>70</v>
      </c>
      <c r="I69" s="6" t="s">
        <v>222</v>
      </c>
      <c r="J69" s="15">
        <v>2623.37</v>
      </c>
      <c r="K69" s="6" t="s">
        <v>97</v>
      </c>
      <c r="L69" s="6" t="s">
        <v>98</v>
      </c>
    </row>
    <row r="70" spans="2:12" ht="15.75" customHeight="1" x14ac:dyDescent="0.25">
      <c r="B70" s="6" t="s">
        <v>359</v>
      </c>
      <c r="C70" s="6" t="s">
        <v>360</v>
      </c>
      <c r="D70" s="6" t="s">
        <v>105</v>
      </c>
      <c r="E70" s="6" t="s">
        <v>106</v>
      </c>
      <c r="F70" s="6" t="s">
        <v>361</v>
      </c>
      <c r="G70" s="6" t="s">
        <v>362</v>
      </c>
      <c r="H70" s="6" t="s">
        <v>73</v>
      </c>
      <c r="I70" s="6" t="s">
        <v>193</v>
      </c>
      <c r="J70" s="15">
        <v>725.79</v>
      </c>
      <c r="K70" s="6" t="s">
        <v>97</v>
      </c>
      <c r="L70" s="6" t="s">
        <v>98</v>
      </c>
    </row>
    <row r="71" spans="2:12" ht="15.75" customHeight="1" x14ac:dyDescent="0.25">
      <c r="B71" s="6" t="s">
        <v>363</v>
      </c>
      <c r="C71" s="6" t="s">
        <v>364</v>
      </c>
      <c r="D71" s="6" t="s">
        <v>132</v>
      </c>
      <c r="E71" s="6" t="s">
        <v>133</v>
      </c>
      <c r="F71" s="6" t="s">
        <v>365</v>
      </c>
      <c r="G71" s="6" t="s">
        <v>366</v>
      </c>
      <c r="H71" s="6" t="s">
        <v>72</v>
      </c>
      <c r="I71" s="6" t="s">
        <v>136</v>
      </c>
      <c r="J71" s="15">
        <v>3567.04</v>
      </c>
      <c r="K71" s="6" t="s">
        <v>97</v>
      </c>
      <c r="L71" s="6" t="s">
        <v>98</v>
      </c>
    </row>
    <row r="72" spans="2:12" ht="15.75" customHeight="1" x14ac:dyDescent="0.25">
      <c r="B72" s="6" t="s">
        <v>209</v>
      </c>
      <c r="C72" s="6" t="s">
        <v>367</v>
      </c>
      <c r="D72" s="6" t="s">
        <v>143</v>
      </c>
      <c r="E72" s="6" t="s">
        <v>144</v>
      </c>
      <c r="F72" s="6" t="s">
        <v>368</v>
      </c>
      <c r="G72" s="6" t="s">
        <v>304</v>
      </c>
      <c r="H72" s="6" t="s">
        <v>71</v>
      </c>
      <c r="I72" s="6" t="s">
        <v>285</v>
      </c>
      <c r="J72" s="15">
        <v>472.31</v>
      </c>
      <c r="K72" s="6" t="s">
        <v>97</v>
      </c>
      <c r="L72" s="6" t="s">
        <v>98</v>
      </c>
    </row>
    <row r="73" spans="2:12" ht="15.75" customHeight="1" x14ac:dyDescent="0.25">
      <c r="B73" s="6" t="s">
        <v>369</v>
      </c>
      <c r="C73" s="6" t="s">
        <v>370</v>
      </c>
      <c r="D73" s="6" t="s">
        <v>132</v>
      </c>
      <c r="E73" s="6" t="s">
        <v>133</v>
      </c>
      <c r="F73" s="6" t="s">
        <v>371</v>
      </c>
      <c r="G73" s="6" t="s">
        <v>372</v>
      </c>
      <c r="H73" s="6" t="s">
        <v>72</v>
      </c>
      <c r="I73" s="6" t="s">
        <v>238</v>
      </c>
      <c r="J73" s="15">
        <v>1384.29</v>
      </c>
      <c r="K73" s="6" t="s">
        <v>97</v>
      </c>
      <c r="L73" s="6" t="s">
        <v>98</v>
      </c>
    </row>
    <row r="74" spans="2:12" ht="15.75" customHeight="1" x14ac:dyDescent="0.25">
      <c r="B74" s="6" t="s">
        <v>271</v>
      </c>
      <c r="C74" s="6" t="s">
        <v>373</v>
      </c>
      <c r="D74" s="6" t="s">
        <v>112</v>
      </c>
      <c r="E74" s="6" t="s">
        <v>113</v>
      </c>
      <c r="F74" s="6" t="s">
        <v>374</v>
      </c>
      <c r="G74" s="6" t="s">
        <v>160</v>
      </c>
      <c r="H74" s="6" t="s">
        <v>70</v>
      </c>
      <c r="I74" s="6" t="s">
        <v>312</v>
      </c>
      <c r="J74" s="15">
        <v>2266.46</v>
      </c>
      <c r="K74" s="6" t="s">
        <v>97</v>
      </c>
      <c r="L74" s="6" t="s">
        <v>98</v>
      </c>
    </row>
    <row r="75" spans="2:12" ht="15.75" customHeight="1" x14ac:dyDescent="0.25">
      <c r="B75" s="6" t="s">
        <v>375</v>
      </c>
      <c r="C75" s="6" t="s">
        <v>376</v>
      </c>
      <c r="D75" s="6" t="s">
        <v>132</v>
      </c>
      <c r="E75" s="6" t="s">
        <v>133</v>
      </c>
      <c r="F75" s="6" t="s">
        <v>377</v>
      </c>
      <c r="G75" s="6" t="s">
        <v>206</v>
      </c>
      <c r="H75" s="6" t="s">
        <v>72</v>
      </c>
      <c r="I75" s="6" t="s">
        <v>344</v>
      </c>
      <c r="J75" s="15">
        <v>2694.93</v>
      </c>
      <c r="K75" s="6" t="s">
        <v>97</v>
      </c>
      <c r="L75" s="6" t="s">
        <v>98</v>
      </c>
    </row>
    <row r="76" spans="2:12" ht="15.75" customHeight="1" x14ac:dyDescent="0.25">
      <c r="B76" s="6" t="s">
        <v>363</v>
      </c>
      <c r="C76" s="6" t="s">
        <v>378</v>
      </c>
      <c r="D76" s="6" t="s">
        <v>119</v>
      </c>
      <c r="E76" s="6" t="s">
        <v>120</v>
      </c>
      <c r="F76" s="6" t="s">
        <v>379</v>
      </c>
      <c r="G76" s="6" t="s">
        <v>167</v>
      </c>
      <c r="H76" s="6" t="s">
        <v>69</v>
      </c>
      <c r="I76" s="6" t="s">
        <v>123</v>
      </c>
      <c r="J76" s="15">
        <v>11242.88</v>
      </c>
      <c r="K76" s="6" t="s">
        <v>97</v>
      </c>
      <c r="L76" s="6" t="s">
        <v>98</v>
      </c>
    </row>
    <row r="77" spans="2:12" ht="15.75" customHeight="1" x14ac:dyDescent="0.25">
      <c r="B77" s="6" t="s">
        <v>380</v>
      </c>
      <c r="C77" s="6" t="s">
        <v>381</v>
      </c>
      <c r="D77" s="6" t="s">
        <v>125</v>
      </c>
      <c r="E77" s="6" t="s">
        <v>126</v>
      </c>
      <c r="F77" s="6" t="s">
        <v>382</v>
      </c>
      <c r="G77" s="6" t="s">
        <v>383</v>
      </c>
      <c r="H77" s="6" t="s">
        <v>74</v>
      </c>
      <c r="I77" s="6" t="s">
        <v>168</v>
      </c>
      <c r="J77" s="15">
        <v>396.99</v>
      </c>
      <c r="K77" s="6" t="s">
        <v>97</v>
      </c>
      <c r="L77" s="6" t="s">
        <v>98</v>
      </c>
    </row>
    <row r="78" spans="2:12" ht="15.75" customHeight="1" x14ac:dyDescent="0.25">
      <c r="B78" s="6" t="s">
        <v>384</v>
      </c>
      <c r="C78" s="6" t="s">
        <v>385</v>
      </c>
      <c r="D78" s="6" t="s">
        <v>119</v>
      </c>
      <c r="E78" s="6" t="s">
        <v>120</v>
      </c>
      <c r="F78" s="6" t="s">
        <v>386</v>
      </c>
      <c r="G78" s="6" t="s">
        <v>318</v>
      </c>
      <c r="H78" s="6" t="s">
        <v>69</v>
      </c>
      <c r="I78" s="6" t="s">
        <v>212</v>
      </c>
      <c r="J78" s="15">
        <v>13205.76</v>
      </c>
      <c r="K78" s="6" t="s">
        <v>97</v>
      </c>
      <c r="L78" s="6" t="s">
        <v>98</v>
      </c>
    </row>
    <row r="79" spans="2:12" ht="15.75" customHeight="1" x14ac:dyDescent="0.25">
      <c r="B79" s="6" t="s">
        <v>387</v>
      </c>
      <c r="C79" s="6" t="s">
        <v>388</v>
      </c>
      <c r="D79" s="6" t="s">
        <v>143</v>
      </c>
      <c r="E79" s="6" t="s">
        <v>144</v>
      </c>
      <c r="F79" s="6" t="s">
        <v>389</v>
      </c>
      <c r="G79" s="6" t="s">
        <v>390</v>
      </c>
      <c r="H79" s="6" t="s">
        <v>71</v>
      </c>
      <c r="I79" s="6" t="s">
        <v>202</v>
      </c>
      <c r="J79" s="15">
        <v>496.17</v>
      </c>
      <c r="K79" s="6" t="s">
        <v>97</v>
      </c>
      <c r="L79" s="6" t="s">
        <v>98</v>
      </c>
    </row>
    <row r="80" spans="2:12" ht="15.75" customHeight="1" x14ac:dyDescent="0.25">
      <c r="B80" s="6" t="s">
        <v>391</v>
      </c>
      <c r="C80" s="6" t="s">
        <v>392</v>
      </c>
      <c r="D80" s="6" t="s">
        <v>143</v>
      </c>
      <c r="E80" s="6" t="s">
        <v>144</v>
      </c>
      <c r="F80" s="6" t="s">
        <v>393</v>
      </c>
      <c r="G80" s="6" t="s">
        <v>327</v>
      </c>
      <c r="H80" s="6" t="s">
        <v>71</v>
      </c>
      <c r="I80" s="6" t="s">
        <v>147</v>
      </c>
      <c r="J80" s="15">
        <v>13861.41</v>
      </c>
      <c r="K80" s="6" t="s">
        <v>97</v>
      </c>
      <c r="L80" s="6" t="s">
        <v>98</v>
      </c>
    </row>
    <row r="81" spans="2:12" ht="15.75" customHeight="1" x14ac:dyDescent="0.25">
      <c r="B81" s="6" t="s">
        <v>394</v>
      </c>
      <c r="C81" s="6" t="s">
        <v>395</v>
      </c>
      <c r="D81" s="6" t="s">
        <v>143</v>
      </c>
      <c r="E81" s="6" t="s">
        <v>144</v>
      </c>
      <c r="F81" s="6" t="s">
        <v>396</v>
      </c>
      <c r="G81" s="6" t="s">
        <v>397</v>
      </c>
      <c r="H81" s="6" t="s">
        <v>71</v>
      </c>
      <c r="I81" s="6" t="s">
        <v>202</v>
      </c>
      <c r="J81" s="15">
        <v>1604.7</v>
      </c>
      <c r="K81" s="6" t="s">
        <v>97</v>
      </c>
      <c r="L81" s="6" t="s">
        <v>98</v>
      </c>
    </row>
    <row r="82" spans="2:12" ht="15.75" customHeight="1" x14ac:dyDescent="0.25">
      <c r="B82" s="6" t="s">
        <v>398</v>
      </c>
      <c r="C82" s="6" t="s">
        <v>399</v>
      </c>
      <c r="D82" s="6" t="s">
        <v>125</v>
      </c>
      <c r="E82" s="6" t="s">
        <v>126</v>
      </c>
      <c r="F82" s="6" t="s">
        <v>400</v>
      </c>
      <c r="G82" s="6" t="s">
        <v>401</v>
      </c>
      <c r="H82" s="6" t="s">
        <v>74</v>
      </c>
      <c r="I82" s="6" t="s">
        <v>129</v>
      </c>
      <c r="J82" s="15">
        <v>290.86</v>
      </c>
      <c r="K82" s="6" t="s">
        <v>97</v>
      </c>
      <c r="L82" s="6" t="s">
        <v>98</v>
      </c>
    </row>
    <row r="83" spans="2:12" ht="15.75" customHeight="1" x14ac:dyDescent="0.25">
      <c r="B83" s="6" t="s">
        <v>402</v>
      </c>
      <c r="C83" s="6" t="s">
        <v>403</v>
      </c>
      <c r="D83" s="6" t="s">
        <v>132</v>
      </c>
      <c r="E83" s="6" t="s">
        <v>133</v>
      </c>
      <c r="F83" s="6" t="s">
        <v>404</v>
      </c>
      <c r="G83" s="6" t="s">
        <v>146</v>
      </c>
      <c r="H83" s="6" t="s">
        <v>72</v>
      </c>
      <c r="I83" s="6" t="s">
        <v>136</v>
      </c>
      <c r="J83" s="15">
        <v>1441.04</v>
      </c>
      <c r="K83" s="6" t="s">
        <v>97</v>
      </c>
      <c r="L83" s="6" t="s">
        <v>98</v>
      </c>
    </row>
    <row r="84" spans="2:12" ht="15.75" customHeight="1" x14ac:dyDescent="0.25">
      <c r="B84" s="6" t="s">
        <v>405</v>
      </c>
      <c r="C84" s="6" t="s">
        <v>406</v>
      </c>
      <c r="D84" s="6" t="s">
        <v>143</v>
      </c>
      <c r="E84" s="6" t="s">
        <v>144</v>
      </c>
      <c r="F84" s="6" t="s">
        <v>407</v>
      </c>
      <c r="G84" s="6" t="s">
        <v>155</v>
      </c>
      <c r="H84" s="6" t="s">
        <v>71</v>
      </c>
      <c r="I84" s="6" t="s">
        <v>285</v>
      </c>
      <c r="J84" s="15">
        <v>2474.88</v>
      </c>
      <c r="K84" s="6" t="s">
        <v>97</v>
      </c>
      <c r="L84" s="6" t="s">
        <v>98</v>
      </c>
    </row>
    <row r="85" spans="2:12" ht="15.75" customHeight="1" x14ac:dyDescent="0.25">
      <c r="B85" s="6" t="s">
        <v>391</v>
      </c>
      <c r="C85" s="6" t="s">
        <v>408</v>
      </c>
      <c r="D85" s="6" t="s">
        <v>152</v>
      </c>
      <c r="E85" s="6" t="s">
        <v>153</v>
      </c>
      <c r="F85" s="6" t="s">
        <v>409</v>
      </c>
      <c r="G85" s="6" t="s">
        <v>410</v>
      </c>
      <c r="H85" s="6" t="s">
        <v>67</v>
      </c>
      <c r="I85" s="6" t="s">
        <v>188</v>
      </c>
      <c r="J85" s="15">
        <v>7856.94</v>
      </c>
      <c r="K85" s="6" t="s">
        <v>97</v>
      </c>
      <c r="L85" s="6" t="s">
        <v>98</v>
      </c>
    </row>
    <row r="86" spans="2:12" ht="15.75" customHeight="1" x14ac:dyDescent="0.25">
      <c r="B86" s="6" t="s">
        <v>309</v>
      </c>
      <c r="C86" s="6" t="s">
        <v>411</v>
      </c>
      <c r="D86" s="6" t="s">
        <v>112</v>
      </c>
      <c r="E86" s="6" t="s">
        <v>113</v>
      </c>
      <c r="F86" s="6" t="s">
        <v>412</v>
      </c>
      <c r="G86" s="6" t="s">
        <v>413</v>
      </c>
      <c r="H86" s="6" t="s">
        <v>70</v>
      </c>
      <c r="I86" s="6" t="s">
        <v>222</v>
      </c>
      <c r="J86" s="15">
        <v>2158.2199999999998</v>
      </c>
      <c r="K86" s="6" t="s">
        <v>97</v>
      </c>
      <c r="L86" s="6" t="s">
        <v>98</v>
      </c>
    </row>
    <row r="87" spans="2:12" ht="15.75" customHeight="1" x14ac:dyDescent="0.25">
      <c r="B87" s="6" t="s">
        <v>414</v>
      </c>
      <c r="C87" s="6" t="s">
        <v>415</v>
      </c>
      <c r="D87" s="6" t="s">
        <v>132</v>
      </c>
      <c r="E87" s="6" t="s">
        <v>133</v>
      </c>
      <c r="F87" s="6" t="s">
        <v>416</v>
      </c>
      <c r="G87" s="6" t="s">
        <v>372</v>
      </c>
      <c r="H87" s="6" t="s">
        <v>72</v>
      </c>
      <c r="I87" s="6" t="s">
        <v>238</v>
      </c>
      <c r="J87" s="15">
        <v>1682.01</v>
      </c>
      <c r="K87" s="6" t="s">
        <v>97</v>
      </c>
      <c r="L87" s="6" t="s">
        <v>98</v>
      </c>
    </row>
    <row r="88" spans="2:12" ht="15.75" customHeight="1" x14ac:dyDescent="0.25">
      <c r="B88" s="6" t="s">
        <v>417</v>
      </c>
      <c r="C88" s="6" t="s">
        <v>418</v>
      </c>
      <c r="D88" s="6" t="s">
        <v>152</v>
      </c>
      <c r="E88" s="6" t="s">
        <v>153</v>
      </c>
      <c r="F88" s="6" t="s">
        <v>419</v>
      </c>
      <c r="G88" s="6" t="s">
        <v>420</v>
      </c>
      <c r="H88" s="6" t="s">
        <v>67</v>
      </c>
      <c r="I88" s="6" t="s">
        <v>161</v>
      </c>
      <c r="J88" s="15">
        <v>29765.11</v>
      </c>
      <c r="K88" s="6" t="s">
        <v>97</v>
      </c>
      <c r="L88" s="6" t="s">
        <v>98</v>
      </c>
    </row>
    <row r="89" spans="2:12" ht="15.75" customHeight="1" x14ac:dyDescent="0.25">
      <c r="B89" s="6" t="s">
        <v>421</v>
      </c>
      <c r="C89" s="6" t="s">
        <v>422</v>
      </c>
      <c r="D89" s="6" t="s">
        <v>143</v>
      </c>
      <c r="E89" s="6" t="s">
        <v>144</v>
      </c>
      <c r="F89" s="6" t="s">
        <v>423</v>
      </c>
      <c r="G89" s="6" t="s">
        <v>216</v>
      </c>
      <c r="H89" s="6" t="s">
        <v>71</v>
      </c>
      <c r="I89" s="6" t="s">
        <v>229</v>
      </c>
      <c r="J89" s="15">
        <v>8344.83</v>
      </c>
      <c r="K89" s="6" t="s">
        <v>97</v>
      </c>
      <c r="L89" s="6" t="s">
        <v>98</v>
      </c>
    </row>
    <row r="90" spans="2:12" ht="15.75" customHeight="1" x14ac:dyDescent="0.25">
      <c r="B90" s="6" t="s">
        <v>424</v>
      </c>
      <c r="C90" s="6" t="s">
        <v>425</v>
      </c>
      <c r="D90" s="6" t="s">
        <v>143</v>
      </c>
      <c r="E90" s="6" t="s">
        <v>144</v>
      </c>
      <c r="F90" s="6" t="s">
        <v>426</v>
      </c>
      <c r="G90" s="6" t="s">
        <v>160</v>
      </c>
      <c r="H90" s="6" t="s">
        <v>71</v>
      </c>
      <c r="I90" s="6" t="s">
        <v>285</v>
      </c>
      <c r="J90" s="15">
        <v>1638.1</v>
      </c>
      <c r="K90" s="6" t="s">
        <v>97</v>
      </c>
      <c r="L90" s="6" t="s">
        <v>98</v>
      </c>
    </row>
    <row r="91" spans="2:12" ht="15.75" customHeight="1" x14ac:dyDescent="0.25">
      <c r="B91" s="6" t="s">
        <v>427</v>
      </c>
      <c r="C91" s="6" t="s">
        <v>428</v>
      </c>
      <c r="D91" s="6" t="s">
        <v>132</v>
      </c>
      <c r="E91" s="6" t="s">
        <v>133</v>
      </c>
      <c r="F91" s="6" t="s">
        <v>429</v>
      </c>
      <c r="G91" s="6" t="s">
        <v>413</v>
      </c>
      <c r="H91" s="6" t="s">
        <v>72</v>
      </c>
      <c r="I91" s="6" t="s">
        <v>136</v>
      </c>
      <c r="J91" s="15">
        <v>2776.18</v>
      </c>
      <c r="K91" s="6" t="s">
        <v>97</v>
      </c>
      <c r="L91" s="6" t="s">
        <v>98</v>
      </c>
    </row>
    <row r="92" spans="2:12" ht="15.75" customHeight="1" x14ac:dyDescent="0.25">
      <c r="B92" s="6" t="s">
        <v>430</v>
      </c>
      <c r="C92" s="6" t="s">
        <v>431</v>
      </c>
      <c r="D92" s="6" t="s">
        <v>112</v>
      </c>
      <c r="E92" s="6" t="s">
        <v>113</v>
      </c>
      <c r="F92" s="6" t="s">
        <v>432</v>
      </c>
      <c r="G92" s="6" t="s">
        <v>172</v>
      </c>
      <c r="H92" s="6" t="s">
        <v>70</v>
      </c>
      <c r="I92" s="6" t="s">
        <v>116</v>
      </c>
      <c r="J92" s="15">
        <v>7734.13</v>
      </c>
      <c r="K92" s="6" t="s">
        <v>97</v>
      </c>
      <c r="L92" s="6" t="s">
        <v>98</v>
      </c>
    </row>
    <row r="93" spans="2:12" ht="15.75" customHeight="1" x14ac:dyDescent="0.25">
      <c r="B93" s="6" t="s">
        <v>433</v>
      </c>
      <c r="C93" s="6" t="s">
        <v>434</v>
      </c>
      <c r="D93" s="6" t="s">
        <v>152</v>
      </c>
      <c r="E93" s="6" t="s">
        <v>153</v>
      </c>
      <c r="F93" s="6" t="s">
        <v>435</v>
      </c>
      <c r="G93" s="6" t="s">
        <v>436</v>
      </c>
      <c r="H93" s="6" t="s">
        <v>67</v>
      </c>
      <c r="I93" s="6" t="s">
        <v>173</v>
      </c>
      <c r="J93" s="15">
        <v>46178.32</v>
      </c>
      <c r="K93" s="6" t="s">
        <v>97</v>
      </c>
      <c r="L93" s="6" t="s">
        <v>98</v>
      </c>
    </row>
    <row r="94" spans="2:12" ht="15.75" customHeight="1" x14ac:dyDescent="0.25">
      <c r="B94" s="6" t="s">
        <v>437</v>
      </c>
      <c r="C94" s="6" t="s">
        <v>438</v>
      </c>
      <c r="D94" s="6" t="s">
        <v>132</v>
      </c>
      <c r="E94" s="6" t="s">
        <v>133</v>
      </c>
      <c r="F94" s="6" t="s">
        <v>439</v>
      </c>
      <c r="G94" s="6" t="s">
        <v>440</v>
      </c>
      <c r="H94" s="6" t="s">
        <v>72</v>
      </c>
      <c r="I94" s="6" t="s">
        <v>344</v>
      </c>
      <c r="J94" s="15">
        <v>3250.35</v>
      </c>
      <c r="K94" s="6" t="s">
        <v>97</v>
      </c>
      <c r="L94" s="6" t="s">
        <v>98</v>
      </c>
    </row>
    <row r="95" spans="2:12" ht="15.75" customHeight="1" x14ac:dyDescent="0.25">
      <c r="B95" s="6" t="s">
        <v>256</v>
      </c>
      <c r="C95" s="6" t="s">
        <v>441</v>
      </c>
      <c r="D95" s="6" t="s">
        <v>92</v>
      </c>
      <c r="E95" s="6" t="s">
        <v>93</v>
      </c>
      <c r="F95" s="6" t="s">
        <v>442</v>
      </c>
      <c r="G95" s="6" t="s">
        <v>358</v>
      </c>
      <c r="H95" s="6" t="s">
        <v>69</v>
      </c>
      <c r="I95" s="6" t="s">
        <v>123</v>
      </c>
      <c r="J95" s="15">
        <v>4321.93</v>
      </c>
      <c r="K95" s="6" t="s">
        <v>97</v>
      </c>
      <c r="L95" s="6" t="s">
        <v>98</v>
      </c>
    </row>
    <row r="96" spans="2:12" ht="15.75" customHeight="1" x14ac:dyDescent="0.25">
      <c r="B96" s="6" t="s">
        <v>384</v>
      </c>
      <c r="C96" s="6" t="s">
        <v>443</v>
      </c>
      <c r="D96" s="6" t="s">
        <v>105</v>
      </c>
      <c r="E96" s="6" t="s">
        <v>106</v>
      </c>
      <c r="F96" s="6" t="s">
        <v>444</v>
      </c>
      <c r="G96" s="6" t="s">
        <v>128</v>
      </c>
      <c r="H96" s="6" t="s">
        <v>73</v>
      </c>
      <c r="I96" s="6" t="s">
        <v>109</v>
      </c>
      <c r="J96" s="15">
        <v>139.19999999999999</v>
      </c>
      <c r="K96" s="6" t="s">
        <v>97</v>
      </c>
      <c r="L96" s="6" t="s">
        <v>98</v>
      </c>
    </row>
    <row r="97" spans="2:12" ht="15.75" customHeight="1" x14ac:dyDescent="0.25">
      <c r="B97" s="6" t="s">
        <v>391</v>
      </c>
      <c r="C97" s="6" t="s">
        <v>445</v>
      </c>
      <c r="D97" s="6" t="s">
        <v>125</v>
      </c>
      <c r="E97" s="6" t="s">
        <v>126</v>
      </c>
      <c r="F97" s="6" t="s">
        <v>446</v>
      </c>
      <c r="G97" s="6" t="s">
        <v>447</v>
      </c>
      <c r="H97" s="6" t="s">
        <v>74</v>
      </c>
      <c r="I97" s="6" t="s">
        <v>448</v>
      </c>
      <c r="J97" s="15">
        <v>605.26</v>
      </c>
      <c r="K97" s="6" t="s">
        <v>97</v>
      </c>
      <c r="L97" s="6" t="s">
        <v>98</v>
      </c>
    </row>
    <row r="98" spans="2:12" ht="15.75" customHeight="1" x14ac:dyDescent="0.25">
      <c r="B98" s="6" t="s">
        <v>449</v>
      </c>
      <c r="C98" s="6" t="s">
        <v>450</v>
      </c>
      <c r="D98" s="6" t="s">
        <v>112</v>
      </c>
      <c r="E98" s="6" t="s">
        <v>113</v>
      </c>
      <c r="F98" s="6" t="s">
        <v>451</v>
      </c>
      <c r="G98" s="6" t="s">
        <v>197</v>
      </c>
      <c r="H98" s="6" t="s">
        <v>70</v>
      </c>
      <c r="I98" s="6" t="s">
        <v>222</v>
      </c>
      <c r="J98" s="15">
        <v>7278.72</v>
      </c>
      <c r="K98" s="6" t="s">
        <v>97</v>
      </c>
      <c r="L98" s="6" t="s">
        <v>98</v>
      </c>
    </row>
    <row r="99" spans="2:12" ht="15.75" customHeight="1" x14ac:dyDescent="0.25">
      <c r="B99" s="6" t="s">
        <v>260</v>
      </c>
      <c r="C99" s="6" t="s">
        <v>452</v>
      </c>
      <c r="D99" s="6" t="s">
        <v>125</v>
      </c>
      <c r="E99" s="6" t="s">
        <v>126</v>
      </c>
      <c r="F99" s="6" t="s">
        <v>453</v>
      </c>
      <c r="G99" s="6" t="s">
        <v>447</v>
      </c>
      <c r="H99" s="6" t="s">
        <v>74</v>
      </c>
      <c r="I99" s="6" t="s">
        <v>448</v>
      </c>
      <c r="J99" s="15">
        <v>546.27</v>
      </c>
      <c r="K99" s="6" t="s">
        <v>97</v>
      </c>
      <c r="L99" s="6" t="s">
        <v>98</v>
      </c>
    </row>
    <row r="100" spans="2:12" ht="15.75" customHeight="1" x14ac:dyDescent="0.25">
      <c r="B100" s="6" t="s">
        <v>294</v>
      </c>
      <c r="C100" s="6" t="s">
        <v>454</v>
      </c>
      <c r="D100" s="6" t="s">
        <v>125</v>
      </c>
      <c r="E100" s="6" t="s">
        <v>126</v>
      </c>
      <c r="F100" s="6" t="s">
        <v>296</v>
      </c>
      <c r="G100" s="6" t="s">
        <v>263</v>
      </c>
      <c r="H100" s="6" t="s">
        <v>74</v>
      </c>
      <c r="I100" s="6" t="s">
        <v>168</v>
      </c>
      <c r="J100" s="15">
        <v>333.65</v>
      </c>
      <c r="K100" s="6" t="s">
        <v>97</v>
      </c>
      <c r="L100" s="6" t="s">
        <v>98</v>
      </c>
    </row>
    <row r="101" spans="2:12" ht="15.75" customHeight="1" x14ac:dyDescent="0.25">
      <c r="B101" s="6" t="s">
        <v>455</v>
      </c>
      <c r="C101" s="6" t="s">
        <v>456</v>
      </c>
      <c r="D101" s="6" t="s">
        <v>112</v>
      </c>
      <c r="E101" s="6" t="s">
        <v>113</v>
      </c>
      <c r="F101" s="6" t="s">
        <v>457</v>
      </c>
      <c r="G101" s="6" t="s">
        <v>413</v>
      </c>
      <c r="H101" s="6" t="s">
        <v>70</v>
      </c>
      <c r="I101" s="6" t="s">
        <v>116</v>
      </c>
      <c r="J101" s="15">
        <v>13811.6</v>
      </c>
      <c r="K101" s="6" t="s">
        <v>97</v>
      </c>
      <c r="L101" s="6" t="s">
        <v>98</v>
      </c>
    </row>
    <row r="102" spans="2:12" ht="15.75" customHeight="1" x14ac:dyDescent="0.25">
      <c r="B102" s="6" t="s">
        <v>458</v>
      </c>
      <c r="C102" s="6" t="s">
        <v>459</v>
      </c>
      <c r="D102" s="6" t="s">
        <v>105</v>
      </c>
      <c r="E102" s="6" t="s">
        <v>106</v>
      </c>
      <c r="F102" s="6" t="s">
        <v>460</v>
      </c>
      <c r="G102" s="6" t="s">
        <v>461</v>
      </c>
      <c r="H102" s="6" t="s">
        <v>73</v>
      </c>
      <c r="I102" s="6" t="s">
        <v>233</v>
      </c>
      <c r="J102" s="15">
        <v>586.07000000000005</v>
      </c>
      <c r="K102" s="6" t="s">
        <v>97</v>
      </c>
      <c r="L102" s="6" t="s">
        <v>98</v>
      </c>
    </row>
    <row r="103" spans="2:12" ht="15.75" customHeight="1" x14ac:dyDescent="0.25">
      <c r="B103" s="6" t="s">
        <v>462</v>
      </c>
      <c r="C103" s="6" t="s">
        <v>463</v>
      </c>
      <c r="D103" s="6" t="s">
        <v>125</v>
      </c>
      <c r="E103" s="6" t="s">
        <v>126</v>
      </c>
      <c r="F103" s="6" t="s">
        <v>464</v>
      </c>
      <c r="G103" s="6" t="s">
        <v>465</v>
      </c>
      <c r="H103" s="6" t="s">
        <v>74</v>
      </c>
      <c r="I103" s="6" t="s">
        <v>168</v>
      </c>
      <c r="J103" s="15">
        <v>435.29</v>
      </c>
      <c r="K103" s="6" t="s">
        <v>97</v>
      </c>
      <c r="L103" s="6" t="s">
        <v>98</v>
      </c>
    </row>
    <row r="104" spans="2:12" ht="15.75" customHeight="1" x14ac:dyDescent="0.25">
      <c r="B104" s="6" t="s">
        <v>90</v>
      </c>
      <c r="C104" s="6" t="s">
        <v>466</v>
      </c>
      <c r="D104" s="6" t="s">
        <v>105</v>
      </c>
      <c r="E104" s="6" t="s">
        <v>106</v>
      </c>
      <c r="F104" s="6" t="s">
        <v>467</v>
      </c>
      <c r="G104" s="6" t="s">
        <v>237</v>
      </c>
      <c r="H104" s="6" t="s">
        <v>73</v>
      </c>
      <c r="I104" s="6" t="s">
        <v>193</v>
      </c>
      <c r="J104" s="15">
        <v>140.5</v>
      </c>
      <c r="K104" s="6" t="s">
        <v>97</v>
      </c>
      <c r="L104" s="6" t="s">
        <v>98</v>
      </c>
    </row>
    <row r="105" spans="2:12" ht="15.75" customHeight="1" x14ac:dyDescent="0.25">
      <c r="B105" s="6" t="s">
        <v>189</v>
      </c>
      <c r="C105" s="6" t="s">
        <v>468</v>
      </c>
      <c r="D105" s="6" t="s">
        <v>152</v>
      </c>
      <c r="E105" s="6" t="s">
        <v>153</v>
      </c>
      <c r="F105" s="6" t="s">
        <v>469</v>
      </c>
      <c r="G105" s="6" t="s">
        <v>253</v>
      </c>
      <c r="H105" s="6" t="s">
        <v>67</v>
      </c>
      <c r="I105" s="6" t="s">
        <v>173</v>
      </c>
      <c r="J105" s="15">
        <v>31234.33</v>
      </c>
      <c r="K105" s="6" t="s">
        <v>97</v>
      </c>
      <c r="L105" s="6" t="s">
        <v>98</v>
      </c>
    </row>
    <row r="106" spans="2:12" ht="15.75" customHeight="1" x14ac:dyDescent="0.25">
      <c r="B106" s="6" t="s">
        <v>470</v>
      </c>
      <c r="C106" s="6" t="s">
        <v>471</v>
      </c>
      <c r="D106" s="6" t="s">
        <v>119</v>
      </c>
      <c r="E106" s="6" t="s">
        <v>120</v>
      </c>
      <c r="F106" s="6" t="s">
        <v>472</v>
      </c>
      <c r="G106" s="6" t="s">
        <v>473</v>
      </c>
      <c r="H106" s="6" t="s">
        <v>69</v>
      </c>
      <c r="I106" s="6" t="s">
        <v>123</v>
      </c>
      <c r="J106" s="15">
        <v>13951.7</v>
      </c>
      <c r="K106" s="6" t="s">
        <v>97</v>
      </c>
      <c r="L106" s="6" t="s">
        <v>98</v>
      </c>
    </row>
    <row r="107" spans="2:12" ht="15.75" customHeight="1" x14ac:dyDescent="0.25">
      <c r="B107" s="6" t="s">
        <v>474</v>
      </c>
      <c r="C107" s="6" t="s">
        <v>475</v>
      </c>
      <c r="D107" s="6" t="s">
        <v>125</v>
      </c>
      <c r="E107" s="6" t="s">
        <v>126</v>
      </c>
      <c r="F107" s="6" t="s">
        <v>476</v>
      </c>
      <c r="G107" s="6" t="s">
        <v>226</v>
      </c>
      <c r="H107" s="6" t="s">
        <v>74</v>
      </c>
      <c r="I107" s="6" t="s">
        <v>448</v>
      </c>
      <c r="J107" s="15">
        <v>422.02</v>
      </c>
      <c r="K107" s="6" t="s">
        <v>97</v>
      </c>
      <c r="L107" s="6" t="s">
        <v>98</v>
      </c>
    </row>
    <row r="108" spans="2:12" ht="15.75" customHeight="1" x14ac:dyDescent="0.25">
      <c r="B108" s="6" t="s">
        <v>477</v>
      </c>
      <c r="C108" s="6" t="s">
        <v>478</v>
      </c>
      <c r="D108" s="6" t="s">
        <v>143</v>
      </c>
      <c r="E108" s="6" t="s">
        <v>144</v>
      </c>
      <c r="F108" s="6" t="s">
        <v>479</v>
      </c>
      <c r="G108" s="6" t="s">
        <v>197</v>
      </c>
      <c r="H108" s="6" t="s">
        <v>71</v>
      </c>
      <c r="I108" s="6" t="s">
        <v>229</v>
      </c>
      <c r="J108" s="15">
        <v>6097.24</v>
      </c>
      <c r="K108" s="6" t="s">
        <v>97</v>
      </c>
      <c r="L108" s="6" t="s">
        <v>98</v>
      </c>
    </row>
    <row r="109" spans="2:12" ht="15.75" customHeight="1" x14ac:dyDescent="0.25">
      <c r="B109" s="6" t="s">
        <v>480</v>
      </c>
      <c r="C109" s="6" t="s">
        <v>481</v>
      </c>
      <c r="D109" s="6" t="s">
        <v>143</v>
      </c>
      <c r="E109" s="6" t="s">
        <v>144</v>
      </c>
      <c r="F109" s="6" t="s">
        <v>482</v>
      </c>
      <c r="G109" s="6" t="s">
        <v>465</v>
      </c>
      <c r="H109" s="6" t="s">
        <v>71</v>
      </c>
      <c r="I109" s="6" t="s">
        <v>285</v>
      </c>
      <c r="J109" s="15">
        <v>9947.06</v>
      </c>
      <c r="K109" s="6" t="s">
        <v>97</v>
      </c>
      <c r="L109" s="6" t="s">
        <v>98</v>
      </c>
    </row>
    <row r="110" spans="2:12" ht="15.75" customHeight="1" x14ac:dyDescent="0.25">
      <c r="B110" s="6" t="s">
        <v>483</v>
      </c>
      <c r="C110" s="6" t="s">
        <v>484</v>
      </c>
      <c r="D110" s="6" t="s">
        <v>125</v>
      </c>
      <c r="E110" s="6" t="s">
        <v>126</v>
      </c>
      <c r="F110" s="6" t="s">
        <v>485</v>
      </c>
      <c r="G110" s="6" t="s">
        <v>201</v>
      </c>
      <c r="H110" s="6" t="s">
        <v>74</v>
      </c>
      <c r="I110" s="6" t="s">
        <v>168</v>
      </c>
      <c r="J110" s="15">
        <v>1077.3399999999999</v>
      </c>
      <c r="K110" s="6" t="s">
        <v>97</v>
      </c>
      <c r="L110" s="6" t="s">
        <v>98</v>
      </c>
    </row>
    <row r="111" spans="2:12" ht="15.75" customHeight="1" x14ac:dyDescent="0.25">
      <c r="B111" s="6" t="s">
        <v>486</v>
      </c>
      <c r="C111" s="6" t="s">
        <v>487</v>
      </c>
      <c r="D111" s="6" t="s">
        <v>132</v>
      </c>
      <c r="E111" s="6" t="s">
        <v>133</v>
      </c>
      <c r="F111" s="6" t="s">
        <v>488</v>
      </c>
      <c r="G111" s="6" t="s">
        <v>300</v>
      </c>
      <c r="H111" s="6" t="s">
        <v>72</v>
      </c>
      <c r="I111" s="6" t="s">
        <v>489</v>
      </c>
      <c r="J111" s="15">
        <v>3457.49</v>
      </c>
      <c r="K111" s="6" t="s">
        <v>97</v>
      </c>
      <c r="L111" s="6" t="s">
        <v>98</v>
      </c>
    </row>
    <row r="112" spans="2:12" ht="15.75" customHeight="1" x14ac:dyDescent="0.25">
      <c r="B112" s="6" t="s">
        <v>490</v>
      </c>
      <c r="C112" s="6" t="s">
        <v>491</v>
      </c>
      <c r="D112" s="6" t="s">
        <v>152</v>
      </c>
      <c r="E112" s="6" t="s">
        <v>153</v>
      </c>
      <c r="F112" s="6" t="s">
        <v>492</v>
      </c>
      <c r="G112" s="6" t="s">
        <v>253</v>
      </c>
      <c r="H112" s="6" t="s">
        <v>67</v>
      </c>
      <c r="I112" s="6" t="s">
        <v>493</v>
      </c>
      <c r="J112" s="15">
        <v>-18450</v>
      </c>
      <c r="K112" s="6" t="s">
        <v>97</v>
      </c>
      <c r="L112" s="6" t="s">
        <v>98</v>
      </c>
    </row>
    <row r="113" spans="2:12" ht="15.75" customHeight="1" x14ac:dyDescent="0.25">
      <c r="B113" s="6" t="s">
        <v>391</v>
      </c>
      <c r="C113" s="6" t="s">
        <v>494</v>
      </c>
      <c r="D113" s="6" t="s">
        <v>152</v>
      </c>
      <c r="E113" s="6" t="s">
        <v>153</v>
      </c>
      <c r="F113" s="6" t="s">
        <v>495</v>
      </c>
      <c r="G113" s="6" t="s">
        <v>270</v>
      </c>
      <c r="H113" s="6" t="s">
        <v>67</v>
      </c>
      <c r="I113" s="6" t="s">
        <v>188</v>
      </c>
      <c r="J113" s="15">
        <v>7641.81</v>
      </c>
      <c r="K113" s="6" t="s">
        <v>97</v>
      </c>
      <c r="L113" s="6" t="s">
        <v>98</v>
      </c>
    </row>
    <row r="114" spans="2:12" ht="15.75" customHeight="1" x14ac:dyDescent="0.25">
      <c r="B114" s="6" t="s">
        <v>430</v>
      </c>
      <c r="C114" s="6" t="s">
        <v>496</v>
      </c>
      <c r="D114" s="6" t="s">
        <v>132</v>
      </c>
      <c r="E114" s="6" t="s">
        <v>133</v>
      </c>
      <c r="F114" s="6" t="s">
        <v>497</v>
      </c>
      <c r="G114" s="6" t="s">
        <v>498</v>
      </c>
      <c r="H114" s="6" t="s">
        <v>72</v>
      </c>
      <c r="I114" s="6" t="s">
        <v>136</v>
      </c>
      <c r="J114" s="15">
        <v>6663.84</v>
      </c>
      <c r="K114" s="6" t="s">
        <v>97</v>
      </c>
      <c r="L114" s="6" t="s">
        <v>98</v>
      </c>
    </row>
    <row r="115" spans="2:12" ht="15.75" customHeight="1" x14ac:dyDescent="0.25">
      <c r="B115" s="6" t="s">
        <v>387</v>
      </c>
      <c r="C115" s="6" t="s">
        <v>499</v>
      </c>
      <c r="D115" s="6" t="s">
        <v>152</v>
      </c>
      <c r="E115" s="6" t="s">
        <v>153</v>
      </c>
      <c r="F115" s="6" t="s">
        <v>500</v>
      </c>
      <c r="G115" s="6" t="s">
        <v>366</v>
      </c>
      <c r="H115" s="6" t="s">
        <v>67</v>
      </c>
      <c r="I115" s="6" t="s">
        <v>173</v>
      </c>
      <c r="J115" s="15">
        <v>28059.14</v>
      </c>
      <c r="K115" s="6" t="s">
        <v>97</v>
      </c>
      <c r="L115" s="6" t="s">
        <v>98</v>
      </c>
    </row>
    <row r="116" spans="2:12" ht="15.75" customHeight="1" x14ac:dyDescent="0.25">
      <c r="B116" s="6" t="s">
        <v>501</v>
      </c>
      <c r="C116" s="6" t="s">
        <v>502</v>
      </c>
      <c r="D116" s="6" t="s">
        <v>112</v>
      </c>
      <c r="E116" s="6" t="s">
        <v>113</v>
      </c>
      <c r="F116" s="6" t="s">
        <v>503</v>
      </c>
      <c r="G116" s="6" t="s">
        <v>465</v>
      </c>
      <c r="H116" s="6" t="s">
        <v>70</v>
      </c>
      <c r="I116" s="6" t="s">
        <v>312</v>
      </c>
      <c r="J116" s="15">
        <v>7871.98</v>
      </c>
      <c r="K116" s="6" t="s">
        <v>97</v>
      </c>
      <c r="L116" s="6" t="s">
        <v>98</v>
      </c>
    </row>
    <row r="117" spans="2:12" ht="15.75" customHeight="1" x14ac:dyDescent="0.25">
      <c r="B117" s="6" t="s">
        <v>504</v>
      </c>
      <c r="C117" s="6" t="s">
        <v>505</v>
      </c>
      <c r="D117" s="6" t="s">
        <v>92</v>
      </c>
      <c r="E117" s="6" t="s">
        <v>93</v>
      </c>
      <c r="F117" s="6" t="s">
        <v>506</v>
      </c>
      <c r="G117" s="6" t="s">
        <v>507</v>
      </c>
      <c r="H117" s="6" t="s">
        <v>69</v>
      </c>
      <c r="I117" s="6" t="s">
        <v>212</v>
      </c>
      <c r="J117" s="15">
        <v>14892.81</v>
      </c>
      <c r="K117" s="6" t="s">
        <v>97</v>
      </c>
      <c r="L117" s="6" t="s">
        <v>98</v>
      </c>
    </row>
    <row r="118" spans="2:12" ht="15.75" customHeight="1" x14ac:dyDescent="0.25">
      <c r="B118" s="6" t="s">
        <v>508</v>
      </c>
      <c r="C118" s="6" t="s">
        <v>509</v>
      </c>
      <c r="D118" s="6"/>
      <c r="E118" s="6" t="s">
        <v>101</v>
      </c>
      <c r="F118" s="6"/>
      <c r="G118" s="6"/>
      <c r="H118" s="6" t="s">
        <v>68</v>
      </c>
      <c r="I118" s="6" t="s">
        <v>102</v>
      </c>
      <c r="J118" s="15">
        <v>24028.65</v>
      </c>
      <c r="K118" s="6" t="s">
        <v>97</v>
      </c>
      <c r="L118" s="6" t="s">
        <v>98</v>
      </c>
    </row>
    <row r="119" spans="2:12" ht="15.75" customHeight="1" x14ac:dyDescent="0.25">
      <c r="B119" s="6" t="s">
        <v>359</v>
      </c>
      <c r="C119" s="6" t="s">
        <v>510</v>
      </c>
      <c r="D119" s="6" t="s">
        <v>125</v>
      </c>
      <c r="E119" s="6" t="s">
        <v>126</v>
      </c>
      <c r="F119" s="6" t="s">
        <v>511</v>
      </c>
      <c r="G119" s="6" t="s">
        <v>372</v>
      </c>
      <c r="H119" s="6" t="s">
        <v>74</v>
      </c>
      <c r="I119" s="6" t="s">
        <v>168</v>
      </c>
      <c r="J119" s="15">
        <v>483.46</v>
      </c>
      <c r="K119" s="6" t="s">
        <v>97</v>
      </c>
      <c r="L119" s="6" t="s">
        <v>98</v>
      </c>
    </row>
  </sheetData>
  <conditionalFormatting sqref="K6:K119">
    <cfRule type="cellIs" dxfId="18" priority="3" operator="equal">
      <formula>"USD"</formula>
    </cfRule>
  </conditionalFormatting>
  <conditionalFormatting sqref="L6:L119">
    <cfRule type="cellIs" dxfId="17" priority="2" operator="equal">
      <formula>"Pending"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I11"/>
  <sheetViews>
    <sheetView showGridLines="0" zoomScaleNormal="100" workbookViewId="0"/>
  </sheetViews>
  <sheetFormatPr defaultColWidth="8.7109375" defaultRowHeight="15" x14ac:dyDescent="0.25"/>
  <cols>
    <col min="2" max="2" width="14" customWidth="1"/>
    <col min="3" max="3" width="10" customWidth="1"/>
    <col min="4" max="4" width="32" customWidth="1"/>
    <col min="5" max="5" width="18" customWidth="1"/>
    <col min="6" max="6" width="32" customWidth="1"/>
    <col min="7" max="7" width="16" customWidth="1"/>
    <col min="8" max="8" width="15" customWidth="1"/>
    <col min="9" max="9" width="9" customWidth="1"/>
  </cols>
  <sheetData>
    <row r="2" spans="2:9" ht="19.5" x14ac:dyDescent="0.3">
      <c r="B2" s="3" t="s">
        <v>512</v>
      </c>
    </row>
    <row r="3" spans="2:9" x14ac:dyDescent="0.25">
      <c r="B3" s="4" t="s">
        <v>513</v>
      </c>
    </row>
    <row r="5" spans="2:9" ht="25.5" customHeight="1" x14ac:dyDescent="0.25">
      <c r="B5" s="5" t="s">
        <v>514</v>
      </c>
      <c r="C5" s="5" t="s">
        <v>82</v>
      </c>
      <c r="D5" s="5" t="s">
        <v>83</v>
      </c>
      <c r="E5" s="5" t="s">
        <v>53</v>
      </c>
      <c r="F5" s="5" t="s">
        <v>86</v>
      </c>
      <c r="G5" s="5" t="s">
        <v>515</v>
      </c>
      <c r="H5" s="5" t="s">
        <v>516</v>
      </c>
      <c r="I5" s="5" t="s">
        <v>89</v>
      </c>
    </row>
    <row r="6" spans="2:9" ht="19.5" customHeight="1" x14ac:dyDescent="0.25">
      <c r="B6" s="6" t="s">
        <v>517</v>
      </c>
      <c r="C6" s="6" t="s">
        <v>152</v>
      </c>
      <c r="D6" s="6" t="s">
        <v>153</v>
      </c>
      <c r="E6" s="6" t="s">
        <v>67</v>
      </c>
      <c r="F6" s="6" t="s">
        <v>518</v>
      </c>
      <c r="G6" s="16">
        <v>78000</v>
      </c>
      <c r="H6" s="6" t="s">
        <v>519</v>
      </c>
      <c r="I6" s="6" t="s">
        <v>520</v>
      </c>
    </row>
    <row r="7" spans="2:9" ht="19.5" customHeight="1" x14ac:dyDescent="0.25">
      <c r="B7" s="6" t="s">
        <v>293</v>
      </c>
      <c r="C7" s="6" t="s">
        <v>119</v>
      </c>
      <c r="D7" s="6" t="s">
        <v>120</v>
      </c>
      <c r="E7" s="6" t="s">
        <v>69</v>
      </c>
      <c r="F7" s="6" t="s">
        <v>521</v>
      </c>
      <c r="G7" s="16">
        <v>64500</v>
      </c>
      <c r="H7" s="6" t="s">
        <v>522</v>
      </c>
      <c r="I7" s="6" t="s">
        <v>520</v>
      </c>
    </row>
    <row r="8" spans="2:9" ht="19.5" customHeight="1" x14ac:dyDescent="0.25">
      <c r="B8" s="6" t="s">
        <v>523</v>
      </c>
      <c r="C8" s="6" t="s">
        <v>112</v>
      </c>
      <c r="D8" s="6" t="s">
        <v>113</v>
      </c>
      <c r="E8" s="6" t="s">
        <v>70</v>
      </c>
      <c r="F8" s="6" t="s">
        <v>524</v>
      </c>
      <c r="G8" s="16">
        <v>32000</v>
      </c>
      <c r="H8" s="6" t="s">
        <v>525</v>
      </c>
      <c r="I8" s="6" t="s">
        <v>520</v>
      </c>
    </row>
    <row r="9" spans="2:9" ht="19.5" customHeight="1" x14ac:dyDescent="0.25">
      <c r="B9" s="6" t="s">
        <v>526</v>
      </c>
      <c r="C9" s="6" t="s">
        <v>105</v>
      </c>
      <c r="D9" s="6" t="s">
        <v>106</v>
      </c>
      <c r="E9" s="6" t="s">
        <v>73</v>
      </c>
      <c r="F9" s="6" t="s">
        <v>527</v>
      </c>
      <c r="G9" s="16">
        <v>18500</v>
      </c>
      <c r="H9" s="6" t="s">
        <v>528</v>
      </c>
      <c r="I9" s="6" t="s">
        <v>520</v>
      </c>
    </row>
    <row r="10" spans="2:9" ht="19.5" customHeight="1" x14ac:dyDescent="0.25">
      <c r="B10" s="6" t="s">
        <v>362</v>
      </c>
      <c r="C10" s="6" t="s">
        <v>132</v>
      </c>
      <c r="D10" s="6" t="s">
        <v>133</v>
      </c>
      <c r="E10" s="6" t="s">
        <v>72</v>
      </c>
      <c r="F10" s="6" t="s">
        <v>529</v>
      </c>
      <c r="G10" s="16">
        <v>21600</v>
      </c>
      <c r="H10" s="6" t="s">
        <v>530</v>
      </c>
      <c r="I10" s="6" t="s">
        <v>520</v>
      </c>
    </row>
    <row r="11" spans="2:9" x14ac:dyDescent="0.25">
      <c r="F11" s="17" t="s">
        <v>531</v>
      </c>
      <c r="G11" s="18">
        <f>SUM(G6:G10)</f>
        <v>214600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43"/>
  <sheetViews>
    <sheetView showGridLines="0" tabSelected="1" topLeftCell="A12" zoomScaleNormal="100" workbookViewId="0">
      <selection activeCell="C32" sqref="C32"/>
    </sheetView>
  </sheetViews>
  <sheetFormatPr defaultColWidth="8.7109375" defaultRowHeight="15" x14ac:dyDescent="0.25"/>
  <cols>
    <col min="1" max="1" width="2" customWidth="1"/>
    <col min="2" max="2" width="26" customWidth="1"/>
    <col min="3" max="3" width="14" customWidth="1"/>
    <col min="4" max="4" width="13" customWidth="1"/>
    <col min="5" max="5" width="15" customWidth="1"/>
    <col min="6" max="8" width="14" customWidth="1"/>
    <col min="9" max="9" width="16" customWidth="1"/>
    <col min="10" max="10" width="9" customWidth="1"/>
  </cols>
  <sheetData>
    <row r="2" spans="2:10" ht="19.5" x14ac:dyDescent="0.3">
      <c r="B2" s="3" t="s">
        <v>532</v>
      </c>
    </row>
    <row r="3" spans="2:10" x14ac:dyDescent="0.25">
      <c r="B3" s="4" t="s">
        <v>533</v>
      </c>
    </row>
    <row r="5" spans="2:10" ht="31.5" customHeight="1" x14ac:dyDescent="0.25">
      <c r="B5" s="7" t="s">
        <v>53</v>
      </c>
      <c r="C5" s="7" t="s">
        <v>534</v>
      </c>
      <c r="D5" s="7" t="s">
        <v>535</v>
      </c>
      <c r="E5" s="7" t="s">
        <v>536</v>
      </c>
      <c r="F5" s="7" t="s">
        <v>537</v>
      </c>
      <c r="G5" s="7" t="s">
        <v>538</v>
      </c>
      <c r="H5" s="7" t="s">
        <v>539</v>
      </c>
      <c r="I5" s="7" t="s">
        <v>540</v>
      </c>
      <c r="J5" s="7" t="s">
        <v>541</v>
      </c>
    </row>
    <row r="6" spans="2:10" x14ac:dyDescent="0.25">
      <c r="B6" s="8" t="s">
        <v>67</v>
      </c>
      <c r="C6" s="19">
        <f>Budget!O6</f>
        <v>420000</v>
      </c>
      <c r="D6" s="19">
        <f>SUM(Budget!C6:J6)</f>
        <v>306600</v>
      </c>
      <c r="E6" s="19">
        <f>SUMIFS('Actuals (D365 Export)'!$J$6:$J$119,'Actuals (D365 Export)'!$H$6:$H$119,$B6,'Actuals (D365 Export)'!$L$6:$L$119,"Posted",'Actuals (D365 Export)'!$K$6:$K$119,"CAD")+SUMIFS('Actuals (D365 Export)'!$J$6:$J$119,'Actuals (D365 Export)'!$H$6:$H$119,$B6,'Actuals (D365 Export)'!$L$6:$L$119,"Posted",'Actuals (D365 Export)'!$K$6:$K$119,"USD")*1.36</f>
        <v>323968.73000000004</v>
      </c>
      <c r="F6" s="19">
        <f>SUMIF('Committed POs'!$E$6:$E$10,$B6,'Committed POs'!$G$6:$G$10)</f>
        <v>78000</v>
      </c>
      <c r="G6" s="19">
        <f t="shared" ref="G6:G14" si="0">MAX(C6-D6-F6,0)</f>
        <v>35400</v>
      </c>
      <c r="H6" s="20">
        <f t="shared" ref="H6:H14" si="1">E6+F6+G6</f>
        <v>437368.73000000004</v>
      </c>
      <c r="I6" s="20">
        <f t="shared" ref="I6:I14" si="2">C6-H6</f>
        <v>-17368.73000000004</v>
      </c>
      <c r="J6" s="21">
        <f t="shared" ref="J6:J14" si="3">IF(C6=0,0,I6/C6)</f>
        <v>-4.1354119047619139E-2</v>
      </c>
    </row>
    <row r="7" spans="2:10" x14ac:dyDescent="0.25">
      <c r="B7" s="8" t="s">
        <v>68</v>
      </c>
      <c r="C7" s="19">
        <f>Budget!O7</f>
        <v>260000</v>
      </c>
      <c r="D7" s="19">
        <f>SUM(Budget!C7:J7)</f>
        <v>171600</v>
      </c>
      <c r="E7" s="19">
        <f>SUMIFS('Actuals (D365 Export)'!$J$6:$J$119,'Actuals (D365 Export)'!$H$6:$H$119,$B7,'Actuals (D365 Export)'!$L$6:$L$119,"Posted",'Actuals (D365 Export)'!$K$6:$K$119,"CAD")+SUMIFS('Actuals (D365 Export)'!$J$6:$J$119,'Actuals (D365 Export)'!$H$6:$H$119,$B7,'Actuals (D365 Export)'!$L$6:$L$119,"Posted",'Actuals (D365 Export)'!$K$6:$K$119,"USD")*1.36</f>
        <v>171047.1</v>
      </c>
      <c r="F7" s="19">
        <f>SUMIF('Committed POs'!$E$6:$E$10,$B7,'Committed POs'!$G$6:$G$10)</f>
        <v>0</v>
      </c>
      <c r="G7" s="19">
        <f t="shared" si="0"/>
        <v>88400</v>
      </c>
      <c r="H7" s="20">
        <f t="shared" si="1"/>
        <v>259447.1</v>
      </c>
      <c r="I7" s="20">
        <f t="shared" si="2"/>
        <v>552.89999999999418</v>
      </c>
      <c r="J7" s="21">
        <f t="shared" si="3"/>
        <v>2.1265384615384393E-3</v>
      </c>
    </row>
    <row r="8" spans="2:10" x14ac:dyDescent="0.25">
      <c r="B8" s="8" t="s">
        <v>69</v>
      </c>
      <c r="C8" s="19">
        <f>Budget!O8</f>
        <v>180000</v>
      </c>
      <c r="D8" s="19">
        <f>SUM(Budget!C8:J8)</f>
        <v>144000</v>
      </c>
      <c r="E8" s="19">
        <f>SUMIFS('Actuals (D365 Export)'!$J$6:$J$119,'Actuals (D365 Export)'!$H$6:$H$119,$B8,'Actuals (D365 Export)'!$L$6:$L$119,"Posted",'Actuals (D365 Export)'!$K$6:$K$119,"CAD")+SUMIFS('Actuals (D365 Export)'!$J$6:$J$119,'Actuals (D365 Export)'!$H$6:$H$119,$B8,'Actuals (D365 Export)'!$L$6:$L$119,"Posted",'Actuals (D365 Export)'!$K$6:$K$119,"USD")*1.36</f>
        <v>179550.05000000005</v>
      </c>
      <c r="F8" s="19">
        <f>SUMIF('Committed POs'!$E$6:$E$10,$B8,'Committed POs'!$G$6:$G$10)</f>
        <v>64500</v>
      </c>
      <c r="G8" s="19">
        <f t="shared" si="0"/>
        <v>0</v>
      </c>
      <c r="H8" s="20">
        <f t="shared" si="1"/>
        <v>244050.05000000005</v>
      </c>
      <c r="I8" s="20">
        <f t="shared" si="2"/>
        <v>-64050.050000000047</v>
      </c>
      <c r="J8" s="21">
        <f t="shared" si="3"/>
        <v>-0.35583361111111139</v>
      </c>
    </row>
    <row r="9" spans="2:10" x14ac:dyDescent="0.25">
      <c r="B9" s="8" t="s">
        <v>70</v>
      </c>
      <c r="C9" s="19">
        <f>Budget!O9</f>
        <v>145000</v>
      </c>
      <c r="D9" s="19">
        <f>SUM(Budget!C9:J9)</f>
        <v>94250</v>
      </c>
      <c r="E9" s="19">
        <f>SUMIFS('Actuals (D365 Export)'!$J$6:$J$119,'Actuals (D365 Export)'!$H$6:$H$119,$B9,'Actuals (D365 Export)'!$L$6:$L$119,"Posted",'Actuals (D365 Export)'!$K$6:$K$119,"CAD")+SUMIFS('Actuals (D365 Export)'!$J$6:$J$119,'Actuals (D365 Export)'!$H$6:$H$119,$B9,'Actuals (D365 Export)'!$L$6:$L$119,"Posted",'Actuals (D365 Export)'!$K$6:$K$119,"USD")*1.36</f>
        <v>112919.36</v>
      </c>
      <c r="F9" s="19">
        <f>SUMIF('Committed POs'!$E$6:$E$10,$B9,'Committed POs'!$G$6:$G$10)</f>
        <v>32000</v>
      </c>
      <c r="G9" s="19">
        <f t="shared" si="0"/>
        <v>18750</v>
      </c>
      <c r="H9" s="20">
        <f t="shared" si="1"/>
        <v>163669.35999999999</v>
      </c>
      <c r="I9" s="20">
        <f t="shared" si="2"/>
        <v>-18669.359999999986</v>
      </c>
      <c r="J9" s="21">
        <f t="shared" si="3"/>
        <v>-0.12875420689655162</v>
      </c>
    </row>
    <row r="10" spans="2:10" x14ac:dyDescent="0.25">
      <c r="B10" s="8" t="s">
        <v>71</v>
      </c>
      <c r="C10" s="19">
        <f>Budget!O10</f>
        <v>90000</v>
      </c>
      <c r="D10" s="19">
        <f>SUM(Budget!C10:J10)</f>
        <v>85500</v>
      </c>
      <c r="E10" s="19">
        <f>SUMIFS('Actuals (D365 Export)'!$J$6:$J$119,'Actuals (D365 Export)'!$H$6:$H$119,$B10,'Actuals (D365 Export)'!$L$6:$L$119,"Posted",'Actuals (D365 Export)'!$K$6:$K$119,"CAD")+SUMIFS('Actuals (D365 Export)'!$J$6:$J$119,'Actuals (D365 Export)'!$H$6:$H$119,$B10,'Actuals (D365 Export)'!$L$6:$L$119,"Posted",'Actuals (D365 Export)'!$K$6:$K$119,"USD")*1.36</f>
        <v>60880.939999999995</v>
      </c>
      <c r="F10" s="19">
        <f>SUMIF('Committed POs'!$E$6:$E$10,$B10,'Committed POs'!$G$6:$G$10)</f>
        <v>0</v>
      </c>
      <c r="G10" s="19">
        <f t="shared" si="0"/>
        <v>4500</v>
      </c>
      <c r="H10" s="20">
        <f t="shared" si="1"/>
        <v>65380.939999999995</v>
      </c>
      <c r="I10" s="20">
        <f t="shared" si="2"/>
        <v>24619.060000000005</v>
      </c>
      <c r="J10" s="21">
        <f t="shared" si="3"/>
        <v>0.27354511111111118</v>
      </c>
    </row>
    <row r="11" spans="2:10" x14ac:dyDescent="0.25">
      <c r="B11" s="8" t="s">
        <v>72</v>
      </c>
      <c r="C11" s="19">
        <f>Budget!O11</f>
        <v>60000</v>
      </c>
      <c r="D11" s="19">
        <f>SUM(Budget!C11:J11)</f>
        <v>36000</v>
      </c>
      <c r="E11" s="19">
        <f>SUMIFS('Actuals (D365 Export)'!$J$6:$J$119,'Actuals (D365 Export)'!$H$6:$H$119,$B11,'Actuals (D365 Export)'!$L$6:$L$119,"Posted",'Actuals (D365 Export)'!$K$6:$K$119,"CAD")+SUMIFS('Actuals (D365 Export)'!$J$6:$J$119,'Actuals (D365 Export)'!$H$6:$H$119,$B11,'Actuals (D365 Export)'!$L$6:$L$119,"Posted",'Actuals (D365 Export)'!$K$6:$K$119,"USD")*1.36</f>
        <v>38800.06</v>
      </c>
      <c r="F11" s="19">
        <f>SUMIF('Committed POs'!$E$6:$E$10,$B11,'Committed POs'!$G$6:$G$10)</f>
        <v>21600</v>
      </c>
      <c r="G11" s="19">
        <f t="shared" si="0"/>
        <v>2400</v>
      </c>
      <c r="H11" s="20">
        <f t="shared" si="1"/>
        <v>62800.06</v>
      </c>
      <c r="I11" s="20">
        <f t="shared" si="2"/>
        <v>-2800.0599999999977</v>
      </c>
      <c r="J11" s="21">
        <f t="shared" si="3"/>
        <v>-4.6667666666666628E-2</v>
      </c>
    </row>
    <row r="12" spans="2:10" x14ac:dyDescent="0.25">
      <c r="B12" s="8" t="s">
        <v>73</v>
      </c>
      <c r="C12" s="19">
        <f>Budget!O12</f>
        <v>25000</v>
      </c>
      <c r="D12" s="19">
        <f>SUM(Budget!C12:J12)</f>
        <v>10000</v>
      </c>
      <c r="E12" s="19">
        <f>SUMIFS('Actuals (D365 Export)'!$J$6:$J$119,'Actuals (D365 Export)'!$H$6:$H$119,$B12,'Actuals (D365 Export)'!$L$6:$L$119,"Posted",'Actuals (D365 Export)'!$K$6:$K$119,"CAD")+SUMIFS('Actuals (D365 Export)'!$J$6:$J$119,'Actuals (D365 Export)'!$H$6:$H$119,$B12,'Actuals (D365 Export)'!$L$6:$L$119,"Posted",'Actuals (D365 Export)'!$K$6:$K$119,"USD")*1.36</f>
        <v>5578.9599999999991</v>
      </c>
      <c r="F12" s="19">
        <f>SUMIF('Committed POs'!$E$6:$E$10,$B12,'Committed POs'!$G$6:$G$10)</f>
        <v>18500</v>
      </c>
      <c r="G12" s="19">
        <f t="shared" si="0"/>
        <v>0</v>
      </c>
      <c r="H12" s="20">
        <f t="shared" si="1"/>
        <v>24078.959999999999</v>
      </c>
      <c r="I12" s="20">
        <f t="shared" si="2"/>
        <v>921.04000000000087</v>
      </c>
      <c r="J12" s="21">
        <f t="shared" si="3"/>
        <v>3.6841600000000037E-2</v>
      </c>
    </row>
    <row r="13" spans="2:10" x14ac:dyDescent="0.25">
      <c r="B13" s="8" t="s">
        <v>74</v>
      </c>
      <c r="C13" s="19">
        <f>Budget!O13</f>
        <v>12000</v>
      </c>
      <c r="D13" s="19">
        <f>SUM(Budget!C13:J13)</f>
        <v>8400</v>
      </c>
      <c r="E13" s="19">
        <f>SUMIFS('Actuals (D365 Export)'!$J$6:$J$119,'Actuals (D365 Export)'!$H$6:$H$119,$B13,'Actuals (D365 Export)'!$L$6:$L$119,"Posted",'Actuals (D365 Export)'!$K$6:$K$119,"CAD")+SUMIFS('Actuals (D365 Export)'!$J$6:$J$119,'Actuals (D365 Export)'!$H$6:$H$119,$B13,'Actuals (D365 Export)'!$L$6:$L$119,"Posted",'Actuals (D365 Export)'!$K$6:$K$119,"USD")*1.36</f>
        <v>7945.62</v>
      </c>
      <c r="F13" s="19">
        <f>SUMIF('Committed POs'!$E$6:$E$10,$B13,'Committed POs'!$G$6:$G$10)</f>
        <v>0</v>
      </c>
      <c r="G13" s="19">
        <f t="shared" si="0"/>
        <v>3600</v>
      </c>
      <c r="H13" s="20">
        <f t="shared" si="1"/>
        <v>11545.619999999999</v>
      </c>
      <c r="I13" s="20">
        <f t="shared" si="2"/>
        <v>454.38000000000102</v>
      </c>
      <c r="J13" s="21">
        <f t="shared" si="3"/>
        <v>3.7865000000000086E-2</v>
      </c>
    </row>
    <row r="14" spans="2:10" x14ac:dyDescent="0.25">
      <c r="B14" s="8" t="s">
        <v>75</v>
      </c>
      <c r="C14" s="19">
        <f>Budget!O14</f>
        <v>68000</v>
      </c>
      <c r="D14" s="19">
        <f>SUM(Budget!C14:J14)</f>
        <v>44880</v>
      </c>
      <c r="E14" s="19">
        <f>SUMIFS('Actuals (D365 Export)'!$J$6:$J$119,'Actuals (D365 Export)'!$H$6:$H$119,$B14,'Actuals (D365 Export)'!$L$6:$L$119,"Posted",'Actuals (D365 Export)'!$K$6:$K$119,"CAD")+SUMIFS('Actuals (D365 Export)'!$J$6:$J$119,'Actuals (D365 Export)'!$H$6:$H$119,$B14,'Actuals (D365 Export)'!$L$6:$L$119,"Posted",'Actuals (D365 Export)'!$K$6:$K$119,"USD")*1.36</f>
        <v>0</v>
      </c>
      <c r="F14" s="19">
        <f>SUMIF('Committed POs'!$E$6:$E$10,$B14,'Committed POs'!$G$6:$G$10)</f>
        <v>0</v>
      </c>
      <c r="G14" s="19">
        <f t="shared" si="0"/>
        <v>23120</v>
      </c>
      <c r="H14" s="20">
        <f t="shared" si="1"/>
        <v>23120</v>
      </c>
      <c r="I14" s="20">
        <f t="shared" si="2"/>
        <v>44880</v>
      </c>
      <c r="J14" s="21">
        <f t="shared" si="3"/>
        <v>0.66</v>
      </c>
    </row>
    <row r="15" spans="2:10" x14ac:dyDescent="0.25">
      <c r="B15" s="22" t="s">
        <v>76</v>
      </c>
      <c r="C15" s="23">
        <f t="shared" ref="C15:I15" si="4">SUM(C6:C14)</f>
        <v>1260000</v>
      </c>
      <c r="D15" s="23">
        <f t="shared" si="4"/>
        <v>901230</v>
      </c>
      <c r="E15" s="23">
        <f t="shared" si="4"/>
        <v>900690.82</v>
      </c>
      <c r="F15" s="23">
        <f t="shared" si="4"/>
        <v>214600</v>
      </c>
      <c r="G15" s="23">
        <f t="shared" si="4"/>
        <v>176170</v>
      </c>
      <c r="H15" s="23">
        <f t="shared" si="4"/>
        <v>1291460.8200000003</v>
      </c>
      <c r="I15" s="23">
        <f t="shared" si="4"/>
        <v>-31460.820000000065</v>
      </c>
      <c r="J15" s="24">
        <f>I15/C15</f>
        <v>-2.4968904761904814E-2</v>
      </c>
    </row>
    <row r="17" spans="2:5" ht="15.75" x14ac:dyDescent="0.25">
      <c r="B17" s="25" t="s">
        <v>542</v>
      </c>
    </row>
    <row r="18" spans="2:5" ht="15.75" x14ac:dyDescent="0.25">
      <c r="B18" s="14" t="s">
        <v>543</v>
      </c>
      <c r="E18" s="26">
        <f>C15</f>
        <v>1260000</v>
      </c>
    </row>
    <row r="19" spans="2:5" ht="15.75" x14ac:dyDescent="0.25">
      <c r="B19" s="14" t="s">
        <v>544</v>
      </c>
      <c r="E19" s="26">
        <f>E15</f>
        <v>900690.82</v>
      </c>
    </row>
    <row r="20" spans="2:5" ht="15.75" x14ac:dyDescent="0.25">
      <c r="B20" s="14" t="s">
        <v>545</v>
      </c>
      <c r="E20" s="27">
        <f>E15/C15</f>
        <v>0.71483398412698407</v>
      </c>
    </row>
    <row r="21" spans="2:5" ht="15.75" x14ac:dyDescent="0.25">
      <c r="B21" s="14" t="s">
        <v>546</v>
      </c>
      <c r="E21" s="28">
        <f>D15-E15</f>
        <v>539.18000000005122</v>
      </c>
    </row>
    <row r="22" spans="2:5" ht="15.75" x14ac:dyDescent="0.25">
      <c r="B22" s="14" t="s">
        <v>547</v>
      </c>
      <c r="E22" s="26">
        <f>F15</f>
        <v>214600</v>
      </c>
    </row>
    <row r="23" spans="2:5" ht="15.75" x14ac:dyDescent="0.25">
      <c r="B23" s="14" t="s">
        <v>548</v>
      </c>
      <c r="E23" s="26">
        <f>SUMIFS('Actuals (D365 Export)'!$J$6:$J$119,'Actuals (D365 Export)'!$L$6:$L$119,"Pending")</f>
        <v>28220</v>
      </c>
    </row>
    <row r="24" spans="2:5" ht="15.75" x14ac:dyDescent="0.25">
      <c r="B24" s="14" t="s">
        <v>549</v>
      </c>
      <c r="E24" s="26">
        <f>H15</f>
        <v>1291460.8200000003</v>
      </c>
    </row>
    <row r="25" spans="2:5" ht="15.75" x14ac:dyDescent="0.25">
      <c r="B25" s="14" t="s">
        <v>550</v>
      </c>
      <c r="E25" s="28">
        <f>I15</f>
        <v>-31460.820000000065</v>
      </c>
    </row>
    <row r="26" spans="2:5" ht="15.75" x14ac:dyDescent="0.25">
      <c r="B26" s="14" t="s">
        <v>551</v>
      </c>
      <c r="E26" s="26">
        <f>C14-H14</f>
        <v>44880</v>
      </c>
    </row>
    <row r="27" spans="2:5" ht="15.75" x14ac:dyDescent="0.25">
      <c r="B27" s="14" t="s">
        <v>552</v>
      </c>
      <c r="E27" s="29" t="str">
        <f>IF(I15&gt;=0,"GREEN",IF(ABS(I15/C15)&lt;0.05,"AMBER","RED"))</f>
        <v>AMBER</v>
      </c>
    </row>
    <row r="30" spans="2:5" ht="15.75" x14ac:dyDescent="0.25">
      <c r="B30" s="25" t="s">
        <v>553</v>
      </c>
    </row>
    <row r="31" spans="2:5" x14ac:dyDescent="0.25">
      <c r="B31" s="30" t="s">
        <v>554</v>
      </c>
      <c r="C31" s="30" t="s">
        <v>77</v>
      </c>
      <c r="D31" s="30" t="s">
        <v>555</v>
      </c>
    </row>
    <row r="32" spans="2:5" x14ac:dyDescent="0.25">
      <c r="B32" s="8" t="s">
        <v>54</v>
      </c>
      <c r="C32" s="9">
        <f>SUM(Budget!$C$15:C$15)</f>
        <v>85600</v>
      </c>
      <c r="D32" s="9">
        <f>SUMPRODUCT((TEXT('Actuals (D365 Export)'!$C$6:$C$119,"mmm")="Jan")*('Actuals (D365 Export)'!$L$6:$L$119="Posted")*'Actuals (D365 Export)'!$J$6:$J$119)</f>
        <v>0</v>
      </c>
    </row>
    <row r="33" spans="2:4" x14ac:dyDescent="0.25">
      <c r="B33" s="8" t="s">
        <v>55</v>
      </c>
      <c r="C33" s="9">
        <f>SUM(Budget!$C$15:D$15)</f>
        <v>164250</v>
      </c>
      <c r="D33" s="9">
        <f>D32+SUMPRODUCT((TEXT('Actuals (D365 Export)'!$C$6:$C$119,"mmm")="Feb")*('Actuals (D365 Export)'!$L$6:$L$119="Posted")*'Actuals (D365 Export)'!$J$6:$J$119)</f>
        <v>0</v>
      </c>
    </row>
    <row r="34" spans="2:4" x14ac:dyDescent="0.25">
      <c r="B34" s="8" t="s">
        <v>56</v>
      </c>
      <c r="C34" s="9">
        <f>SUM(Budget!$C$15:E$15)</f>
        <v>277540</v>
      </c>
      <c r="D34" s="9">
        <f>D33+SUMPRODUCT((TEXT('Actuals (D365 Export)'!$C$6:$C$119,"mmm")="Mar")*('Actuals (D365 Export)'!$L$6:$L$119="Posted")*'Actuals (D365 Export)'!$J$6:$J$119)</f>
        <v>0</v>
      </c>
    </row>
    <row r="35" spans="2:4" x14ac:dyDescent="0.25">
      <c r="B35" s="8" t="s">
        <v>57</v>
      </c>
      <c r="C35" s="9">
        <f>SUM(Budget!$C$15:F$15)</f>
        <v>401490</v>
      </c>
      <c r="D35" s="9">
        <f>D34+SUMPRODUCT((TEXT('Actuals (D365 Export)'!$C$6:$C$119,"mmm")="Apr")*('Actuals (D365 Export)'!$L$6:$L$119="Posted")*'Actuals (D365 Export)'!$J$6:$J$119)</f>
        <v>0</v>
      </c>
    </row>
    <row r="36" spans="2:4" x14ac:dyDescent="0.25">
      <c r="B36" s="8" t="s">
        <v>58</v>
      </c>
      <c r="C36" s="9">
        <f>SUM(Budget!$C$15:G$15)</f>
        <v>531750</v>
      </c>
      <c r="D36" s="9">
        <f>D35+SUMPRODUCT((TEXT('Actuals (D365 Export)'!$C$6:$C$119,"mmm")="May")*('Actuals (D365 Export)'!$L$6:$L$119="Posted")*'Actuals (D365 Export)'!$J$6:$J$119)</f>
        <v>0</v>
      </c>
    </row>
    <row r="37" spans="2:4" x14ac:dyDescent="0.25">
      <c r="B37" s="8" t="s">
        <v>59</v>
      </c>
      <c r="C37" s="9">
        <f>SUM(Budget!$C$15:H$15)</f>
        <v>658260</v>
      </c>
      <c r="D37" s="9">
        <f>D36+SUMPRODUCT((TEXT('Actuals (D365 Export)'!$C$6:$C$119,"mmm")="Jun")*('Actuals (D365 Export)'!$L$6:$L$119="Posted")*'Actuals (D365 Export)'!$J$6:$J$119)</f>
        <v>0</v>
      </c>
    </row>
    <row r="38" spans="2:4" x14ac:dyDescent="0.25">
      <c r="B38" s="8" t="s">
        <v>60</v>
      </c>
      <c r="C38" s="9">
        <f>SUM(Budget!$C$15:I$15)</f>
        <v>783470</v>
      </c>
      <c r="D38" s="9">
        <f>D37+SUMPRODUCT((TEXT('Actuals (D365 Export)'!$C$6:$C$119,"mmm")="Jul")*('Actuals (D365 Export)'!$L$6:$L$119="Posted")*'Actuals (D365 Export)'!$J$6:$J$119)</f>
        <v>0</v>
      </c>
    </row>
    <row r="39" spans="2:4" x14ac:dyDescent="0.25">
      <c r="B39" s="8" t="s">
        <v>61</v>
      </c>
      <c r="C39" s="9">
        <f>SUM(Budget!$C$15:J$15)</f>
        <v>901230</v>
      </c>
      <c r="D39" s="9">
        <f>D38+SUMPRODUCT((TEXT('Actuals (D365 Export)'!$C$6:$C$119,"mmm")="Aug")*('Actuals (D365 Export)'!$L$6:$L$119="Posted")*'Actuals (D365 Export)'!$J$6:$J$119)</f>
        <v>0</v>
      </c>
    </row>
    <row r="40" spans="2:4" x14ac:dyDescent="0.25">
      <c r="B40" s="8" t="s">
        <v>62</v>
      </c>
      <c r="C40" s="9">
        <f>SUM(Budget!$C$15:K$15)</f>
        <v>1013690</v>
      </c>
    </row>
    <row r="41" spans="2:4" x14ac:dyDescent="0.25">
      <c r="B41" s="8" t="s">
        <v>63</v>
      </c>
      <c r="C41" s="9">
        <f>SUM(Budget!$C$15:L$15)</f>
        <v>1121100</v>
      </c>
    </row>
    <row r="42" spans="2:4" x14ac:dyDescent="0.25">
      <c r="B42" s="8" t="s">
        <v>64</v>
      </c>
      <c r="C42" s="9">
        <f>SUM(Budget!$C$15:M$15)</f>
        <v>1197050</v>
      </c>
    </row>
    <row r="43" spans="2:4" x14ac:dyDescent="0.25">
      <c r="B43" s="8" t="s">
        <v>65</v>
      </c>
      <c r="C43" s="9">
        <f>SUM(Budget!$C$15:N$15)</f>
        <v>1260000</v>
      </c>
    </row>
  </sheetData>
  <conditionalFormatting sqref="E27">
    <cfRule type="cellIs" dxfId="16" priority="4" operator="equal">
      <formula>"GREEN"</formula>
    </cfRule>
    <cfRule type="cellIs" dxfId="15" priority="5" operator="equal">
      <formula>"AMBER"</formula>
    </cfRule>
    <cfRule type="cellIs" dxfId="14" priority="6" operator="equal">
      <formula>"RED"</formula>
    </cfRule>
  </conditionalFormatting>
  <conditionalFormatting sqref="I6:I15">
    <cfRule type="cellIs" dxfId="13" priority="2" operator="lessThan">
      <formula>0</formula>
    </cfRule>
    <cfRule type="cellIs" dxfId="12" priority="3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17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 x14ac:dyDescent="0.25"/>
  <cols>
    <col min="2" max="2" width="8" customWidth="1"/>
    <col min="3" max="3" width="12" customWidth="1"/>
    <col min="4" max="4" width="50" customWidth="1"/>
    <col min="5" max="5" width="20" customWidth="1"/>
    <col min="6" max="6" width="9" customWidth="1"/>
    <col min="7" max="7" width="52" customWidth="1"/>
    <col min="8" max="9" width="11" customWidth="1"/>
  </cols>
  <sheetData>
    <row r="2" spans="2:9" ht="19.5" x14ac:dyDescent="0.3">
      <c r="B2" s="3" t="s">
        <v>556</v>
      </c>
    </row>
    <row r="3" spans="2:9" x14ac:dyDescent="0.25">
      <c r="B3" s="4" t="s">
        <v>557</v>
      </c>
    </row>
    <row r="5" spans="2:9" ht="27.75" customHeight="1" x14ac:dyDescent="0.25">
      <c r="B5" s="5" t="s">
        <v>2</v>
      </c>
      <c r="C5" s="5" t="s">
        <v>558</v>
      </c>
      <c r="D5" s="5" t="s">
        <v>86</v>
      </c>
      <c r="E5" s="5" t="s">
        <v>559</v>
      </c>
      <c r="F5" s="5" t="s">
        <v>560</v>
      </c>
      <c r="G5" s="5" t="s">
        <v>561</v>
      </c>
      <c r="H5" s="5" t="s">
        <v>89</v>
      </c>
      <c r="I5" s="5" t="s">
        <v>562</v>
      </c>
    </row>
    <row r="6" spans="2:9" ht="45.75" customHeight="1" x14ac:dyDescent="0.25">
      <c r="B6" s="6" t="s">
        <v>563</v>
      </c>
      <c r="C6" s="6" t="s">
        <v>564</v>
      </c>
      <c r="D6" s="6" t="s">
        <v>565</v>
      </c>
      <c r="E6" s="6" t="s">
        <v>22</v>
      </c>
      <c r="F6" s="6" t="s">
        <v>15</v>
      </c>
      <c r="G6" s="6" t="s">
        <v>566</v>
      </c>
      <c r="H6" s="6" t="s">
        <v>520</v>
      </c>
      <c r="I6" s="6" t="s">
        <v>567</v>
      </c>
    </row>
    <row r="7" spans="2:9" ht="45.75" customHeight="1" x14ac:dyDescent="0.25">
      <c r="B7" s="6" t="s">
        <v>568</v>
      </c>
      <c r="C7" s="6" t="s">
        <v>564</v>
      </c>
      <c r="D7" s="6" t="s">
        <v>569</v>
      </c>
      <c r="E7" s="6" t="s">
        <v>33</v>
      </c>
      <c r="F7" s="6" t="s">
        <v>25</v>
      </c>
      <c r="G7" s="6" t="s">
        <v>570</v>
      </c>
      <c r="H7" s="6" t="s">
        <v>520</v>
      </c>
      <c r="I7" s="6" t="s">
        <v>571</v>
      </c>
    </row>
    <row r="8" spans="2:9" ht="45.75" customHeight="1" x14ac:dyDescent="0.25">
      <c r="B8" s="6" t="s">
        <v>572</v>
      </c>
      <c r="C8" s="6" t="s">
        <v>564</v>
      </c>
      <c r="D8" s="6" t="s">
        <v>573</v>
      </c>
      <c r="E8" s="6" t="s">
        <v>42</v>
      </c>
      <c r="F8" s="6" t="s">
        <v>25</v>
      </c>
      <c r="G8" s="6" t="s">
        <v>574</v>
      </c>
      <c r="H8" s="6" t="s">
        <v>520</v>
      </c>
      <c r="I8" s="6" t="s">
        <v>575</v>
      </c>
    </row>
    <row r="9" spans="2:9" ht="45.75" customHeight="1" x14ac:dyDescent="0.25">
      <c r="B9" s="6" t="s">
        <v>576</v>
      </c>
      <c r="C9" s="6" t="s">
        <v>564</v>
      </c>
      <c r="D9" s="6" t="s">
        <v>577</v>
      </c>
      <c r="E9" s="6" t="s">
        <v>33</v>
      </c>
      <c r="F9" s="6" t="s">
        <v>25</v>
      </c>
      <c r="G9" s="6" t="s">
        <v>578</v>
      </c>
      <c r="H9" s="6" t="s">
        <v>520</v>
      </c>
      <c r="I9" s="6" t="s">
        <v>579</v>
      </c>
    </row>
    <row r="10" spans="2:9" ht="45.75" customHeight="1" x14ac:dyDescent="0.25">
      <c r="B10" s="6" t="s">
        <v>580</v>
      </c>
      <c r="C10" s="6" t="s">
        <v>581</v>
      </c>
      <c r="D10" s="6" t="s">
        <v>582</v>
      </c>
      <c r="E10" s="6" t="s">
        <v>583</v>
      </c>
      <c r="F10" s="6" t="s">
        <v>15</v>
      </c>
      <c r="G10" s="6" t="s">
        <v>584</v>
      </c>
      <c r="H10" s="6" t="s">
        <v>520</v>
      </c>
      <c r="I10" s="6" t="s">
        <v>391</v>
      </c>
    </row>
    <row r="11" spans="2:9" ht="45.75" customHeight="1" x14ac:dyDescent="0.25">
      <c r="B11" s="6" t="s">
        <v>585</v>
      </c>
      <c r="C11" s="6" t="s">
        <v>581</v>
      </c>
      <c r="D11" s="6" t="s">
        <v>586</v>
      </c>
      <c r="E11" s="6" t="s">
        <v>587</v>
      </c>
      <c r="F11" s="6" t="s">
        <v>15</v>
      </c>
      <c r="G11" s="6" t="s">
        <v>588</v>
      </c>
      <c r="H11" s="6" t="s">
        <v>589</v>
      </c>
      <c r="I11" s="6" t="s">
        <v>501</v>
      </c>
    </row>
    <row r="12" spans="2:9" ht="45.75" customHeight="1" x14ac:dyDescent="0.25">
      <c r="B12" s="6" t="s">
        <v>590</v>
      </c>
      <c r="C12" s="6" t="s">
        <v>581</v>
      </c>
      <c r="D12" s="6" t="s">
        <v>591</v>
      </c>
      <c r="E12" s="6" t="s">
        <v>33</v>
      </c>
      <c r="F12" s="6" t="s">
        <v>44</v>
      </c>
      <c r="G12" s="6" t="s">
        <v>592</v>
      </c>
      <c r="H12" s="6" t="s">
        <v>520</v>
      </c>
      <c r="I12" s="6" t="s">
        <v>178</v>
      </c>
    </row>
    <row r="13" spans="2:9" ht="45.75" customHeight="1" x14ac:dyDescent="0.25">
      <c r="B13" s="6" t="s">
        <v>593</v>
      </c>
      <c r="C13" s="6" t="s">
        <v>581</v>
      </c>
      <c r="D13" s="6" t="s">
        <v>594</v>
      </c>
      <c r="E13" s="6" t="s">
        <v>595</v>
      </c>
      <c r="F13" s="6" t="s">
        <v>15</v>
      </c>
      <c r="G13" s="6" t="s">
        <v>596</v>
      </c>
      <c r="H13" s="6" t="s">
        <v>520</v>
      </c>
      <c r="I13" s="6" t="s">
        <v>597</v>
      </c>
    </row>
    <row r="14" spans="2:9" ht="45.75" customHeight="1" x14ac:dyDescent="0.25">
      <c r="B14" s="6" t="s">
        <v>598</v>
      </c>
      <c r="C14" s="6" t="s">
        <v>599</v>
      </c>
      <c r="D14" s="6" t="s">
        <v>600</v>
      </c>
      <c r="E14" s="6" t="s">
        <v>587</v>
      </c>
      <c r="F14" s="6" t="s">
        <v>25</v>
      </c>
      <c r="G14" s="6" t="s">
        <v>601</v>
      </c>
      <c r="H14" s="6" t="s">
        <v>520</v>
      </c>
      <c r="I14" s="6" t="s">
        <v>602</v>
      </c>
    </row>
    <row r="15" spans="2:9" ht="45.75" customHeight="1" x14ac:dyDescent="0.25">
      <c r="B15" s="6" t="s">
        <v>603</v>
      </c>
      <c r="C15" s="6" t="s">
        <v>599</v>
      </c>
      <c r="D15" s="6" t="s">
        <v>604</v>
      </c>
      <c r="E15" s="6" t="s">
        <v>605</v>
      </c>
      <c r="F15" s="6" t="s">
        <v>25</v>
      </c>
      <c r="G15" s="6" t="s">
        <v>606</v>
      </c>
      <c r="H15" s="6" t="s">
        <v>520</v>
      </c>
      <c r="I15" s="6" t="s">
        <v>602</v>
      </c>
    </row>
    <row r="16" spans="2:9" ht="45.75" customHeight="1" x14ac:dyDescent="0.25">
      <c r="B16" s="6" t="s">
        <v>607</v>
      </c>
      <c r="C16" s="6" t="s">
        <v>608</v>
      </c>
      <c r="D16" s="6" t="s">
        <v>609</v>
      </c>
      <c r="E16" s="6" t="s">
        <v>33</v>
      </c>
      <c r="F16" s="6" t="s">
        <v>15</v>
      </c>
      <c r="G16" s="6" t="s">
        <v>610</v>
      </c>
      <c r="H16" s="6" t="s">
        <v>611</v>
      </c>
      <c r="I16" s="6" t="s">
        <v>612</v>
      </c>
    </row>
    <row r="17" spans="2:9" ht="45.75" customHeight="1" x14ac:dyDescent="0.25">
      <c r="B17" s="6" t="s">
        <v>613</v>
      </c>
      <c r="C17" s="6" t="s">
        <v>608</v>
      </c>
      <c r="D17" s="6" t="s">
        <v>614</v>
      </c>
      <c r="E17" s="6" t="s">
        <v>22</v>
      </c>
      <c r="F17" s="6" t="s">
        <v>15</v>
      </c>
      <c r="G17" s="6" t="s">
        <v>615</v>
      </c>
      <c r="H17" s="6" t="s">
        <v>520</v>
      </c>
      <c r="I17" s="6" t="s">
        <v>616</v>
      </c>
    </row>
  </sheetData>
  <conditionalFormatting sqref="F6:F17">
    <cfRule type="cellIs" dxfId="11" priority="5" operator="equal">
      <formula>"High"</formula>
    </cfRule>
  </conditionalFormatting>
  <conditionalFormatting sqref="H6:H17">
    <cfRule type="cellIs" dxfId="10" priority="2" operator="equal">
      <formula>"Open"</formula>
    </cfRule>
    <cfRule type="cellIs" dxfId="9" priority="3" operator="equal">
      <formula>"Mitigated"</formula>
    </cfRule>
    <cfRule type="cellIs" dxfId="8" priority="4" operator="equal">
      <formula>"Closed"</formula>
    </cfRule>
  </conditionalFormatting>
  <dataValidations count="3">
    <dataValidation type="list" sqref="C6:C17" xr:uid="{00000000-0002-0000-0500-000000000000}">
      <formula1>"Risk,Assumption,Issue,Dependency"</formula1>
      <formula2>0</formula2>
    </dataValidation>
    <dataValidation type="list" sqref="F6:F17" xr:uid="{00000000-0002-0000-0500-000001000000}">
      <formula1>"High,Medium,Low"</formula1>
      <formula2>0</formula2>
    </dataValidation>
    <dataValidation type="list" sqref="H6:H17" xr:uid="{00000000-0002-0000-0500-000002000000}">
      <formula1>"Open,Mitigated,Closed"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K11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 x14ac:dyDescent="0.25"/>
  <cols>
    <col min="2" max="2" width="8" customWidth="1"/>
    <col min="3" max="3" width="38" customWidth="1"/>
    <col min="4" max="4" width="18" customWidth="1"/>
    <col min="5" max="5" width="13" customWidth="1"/>
    <col min="6" max="6" width="8" customWidth="1"/>
    <col min="7" max="7" width="9" customWidth="1"/>
    <col min="8" max="8" width="13" customWidth="1"/>
    <col min="9" max="9" width="20" customWidth="1"/>
    <col min="10" max="10" width="11" customWidth="1"/>
    <col min="11" max="11" width="46" customWidth="1"/>
  </cols>
  <sheetData>
    <row r="2" spans="2:11" ht="19.5" x14ac:dyDescent="0.3">
      <c r="B2" s="3" t="s">
        <v>617</v>
      </c>
    </row>
    <row r="3" spans="2:11" x14ac:dyDescent="0.25">
      <c r="B3" s="4" t="s">
        <v>618</v>
      </c>
    </row>
    <row r="5" spans="2:11" ht="27.75" customHeight="1" x14ac:dyDescent="0.25">
      <c r="B5" s="5" t="s">
        <v>619</v>
      </c>
      <c r="C5" s="5" t="s">
        <v>620</v>
      </c>
      <c r="D5" s="5" t="s">
        <v>621</v>
      </c>
      <c r="E5" s="5" t="s">
        <v>622</v>
      </c>
      <c r="F5" s="5" t="s">
        <v>623</v>
      </c>
      <c r="G5" s="5" t="s">
        <v>624</v>
      </c>
      <c r="H5" s="5" t="s">
        <v>89</v>
      </c>
      <c r="I5" s="5" t="s">
        <v>625</v>
      </c>
      <c r="J5" s="5" t="s">
        <v>626</v>
      </c>
      <c r="K5" s="5" t="s">
        <v>627</v>
      </c>
    </row>
    <row r="6" spans="2:11" ht="42" customHeight="1" x14ac:dyDescent="0.25">
      <c r="B6" s="6" t="s">
        <v>628</v>
      </c>
      <c r="C6" s="6" t="s">
        <v>629</v>
      </c>
      <c r="D6" s="6" t="s">
        <v>587</v>
      </c>
      <c r="E6" s="6" t="s">
        <v>630</v>
      </c>
      <c r="F6" s="6" t="s">
        <v>631</v>
      </c>
      <c r="G6" s="6" t="s">
        <v>25</v>
      </c>
      <c r="H6" s="6" t="s">
        <v>632</v>
      </c>
      <c r="I6" s="6" t="s">
        <v>633</v>
      </c>
      <c r="J6" s="6" t="s">
        <v>634</v>
      </c>
      <c r="K6" s="6" t="s">
        <v>635</v>
      </c>
    </row>
    <row r="7" spans="2:11" ht="42" customHeight="1" x14ac:dyDescent="0.25">
      <c r="B7" s="6" t="s">
        <v>636</v>
      </c>
      <c r="C7" s="6" t="s">
        <v>637</v>
      </c>
      <c r="D7" s="6" t="s">
        <v>22</v>
      </c>
      <c r="E7" s="6" t="s">
        <v>638</v>
      </c>
      <c r="F7" s="6" t="s">
        <v>639</v>
      </c>
      <c r="G7" s="6" t="s">
        <v>25</v>
      </c>
      <c r="H7" s="6" t="s">
        <v>632</v>
      </c>
      <c r="I7" s="6" t="s">
        <v>633</v>
      </c>
      <c r="J7" s="6" t="s">
        <v>640</v>
      </c>
      <c r="K7" s="6" t="s">
        <v>641</v>
      </c>
    </row>
    <row r="8" spans="2:11" ht="42" customHeight="1" x14ac:dyDescent="0.25">
      <c r="B8" s="6" t="s">
        <v>642</v>
      </c>
      <c r="C8" s="6" t="s">
        <v>643</v>
      </c>
      <c r="D8" s="6" t="s">
        <v>595</v>
      </c>
      <c r="E8" s="6" t="s">
        <v>644</v>
      </c>
      <c r="F8" s="6" t="s">
        <v>645</v>
      </c>
      <c r="G8" s="6" t="s">
        <v>15</v>
      </c>
      <c r="H8" s="6" t="s">
        <v>632</v>
      </c>
      <c r="I8" s="6" t="s">
        <v>633</v>
      </c>
      <c r="J8" s="6" t="s">
        <v>267</v>
      </c>
      <c r="K8" s="6" t="s">
        <v>646</v>
      </c>
    </row>
    <row r="9" spans="2:11" ht="42" customHeight="1" x14ac:dyDescent="0.25">
      <c r="B9" s="6" t="s">
        <v>647</v>
      </c>
      <c r="C9" s="6" t="s">
        <v>648</v>
      </c>
      <c r="D9" s="6" t="s">
        <v>587</v>
      </c>
      <c r="E9" s="6" t="s">
        <v>649</v>
      </c>
      <c r="F9" s="6" t="s">
        <v>631</v>
      </c>
      <c r="G9" s="6" t="s">
        <v>15</v>
      </c>
      <c r="H9" s="6" t="s">
        <v>650</v>
      </c>
      <c r="I9" s="6" t="s">
        <v>633</v>
      </c>
      <c r="J9" s="6" t="s">
        <v>49</v>
      </c>
      <c r="K9" s="6" t="s">
        <v>651</v>
      </c>
    </row>
    <row r="10" spans="2:11" ht="42" customHeight="1" x14ac:dyDescent="0.25">
      <c r="B10" s="6" t="s">
        <v>652</v>
      </c>
      <c r="C10" s="6" t="s">
        <v>653</v>
      </c>
      <c r="D10" s="6" t="s">
        <v>583</v>
      </c>
      <c r="E10" s="6" t="s">
        <v>654</v>
      </c>
      <c r="F10" s="6" t="s">
        <v>645</v>
      </c>
      <c r="G10" s="6" t="s">
        <v>44</v>
      </c>
      <c r="H10" s="6" t="s">
        <v>655</v>
      </c>
      <c r="I10" s="6" t="s">
        <v>633</v>
      </c>
      <c r="J10" s="6" t="s">
        <v>656</v>
      </c>
      <c r="K10" s="6" t="s">
        <v>657</v>
      </c>
    </row>
    <row r="11" spans="2:11" ht="42" customHeight="1" x14ac:dyDescent="0.25">
      <c r="B11" s="6" t="s">
        <v>658</v>
      </c>
      <c r="C11" s="6" t="s">
        <v>659</v>
      </c>
      <c r="D11" s="6" t="s">
        <v>605</v>
      </c>
      <c r="E11" s="6" t="s">
        <v>660</v>
      </c>
      <c r="F11" s="6" t="s">
        <v>661</v>
      </c>
      <c r="G11" s="6" t="s">
        <v>15</v>
      </c>
      <c r="H11" s="6" t="s">
        <v>632</v>
      </c>
      <c r="I11" s="6" t="s">
        <v>633</v>
      </c>
      <c r="J11" s="6" t="s">
        <v>462</v>
      </c>
      <c r="K11" s="6" t="s">
        <v>662</v>
      </c>
    </row>
  </sheetData>
  <conditionalFormatting sqref="H6:H11">
    <cfRule type="cellIs" dxfId="7" priority="2" operator="equal">
      <formula>"Approved"</formula>
    </cfRule>
    <cfRule type="cellIs" dxfId="6" priority="3" operator="equal">
      <formula>"REJECTED"</formula>
    </cfRule>
    <cfRule type="cellIs" dxfId="5" priority="4" operator="equal">
      <formula>"Under Review"</formula>
    </cfRule>
  </conditionalFormatting>
  <dataValidations count="1">
    <dataValidation type="list" sqref="H6:H11" xr:uid="{00000000-0002-0000-0600-000000000000}">
      <formula1>"Submitted,Under Review,Approved,REJECTED,Implemented"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I13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 x14ac:dyDescent="0.25"/>
  <cols>
    <col min="2" max="2" width="8" customWidth="1"/>
    <col min="3" max="3" width="44" customWidth="1"/>
    <col min="4" max="4" width="13" customWidth="1"/>
    <col min="5" max="5" width="20" customWidth="1"/>
    <col min="6" max="7" width="11" customWidth="1"/>
    <col min="8" max="8" width="12" customWidth="1"/>
    <col min="9" max="9" width="36" customWidth="1"/>
  </cols>
  <sheetData>
    <row r="2" spans="2:9" ht="19.5" x14ac:dyDescent="0.3">
      <c r="B2" s="3" t="s">
        <v>663</v>
      </c>
    </row>
    <row r="3" spans="2:9" x14ac:dyDescent="0.25">
      <c r="B3" s="4" t="s">
        <v>664</v>
      </c>
    </row>
    <row r="5" spans="2:9" ht="27.75" customHeight="1" x14ac:dyDescent="0.25">
      <c r="B5" s="5" t="s">
        <v>2</v>
      </c>
      <c r="C5" s="5" t="s">
        <v>665</v>
      </c>
      <c r="D5" s="5" t="s">
        <v>666</v>
      </c>
      <c r="E5" s="5" t="s">
        <v>559</v>
      </c>
      <c r="F5" s="5" t="s">
        <v>562</v>
      </c>
      <c r="G5" s="5" t="s">
        <v>667</v>
      </c>
      <c r="H5" s="5" t="s">
        <v>89</v>
      </c>
      <c r="I5" s="5" t="s">
        <v>668</v>
      </c>
    </row>
    <row r="6" spans="2:9" ht="30" customHeight="1" x14ac:dyDescent="0.25">
      <c r="B6" s="6" t="s">
        <v>669</v>
      </c>
      <c r="C6" s="6" t="s">
        <v>670</v>
      </c>
      <c r="D6" s="6" t="s">
        <v>563</v>
      </c>
      <c r="E6" s="6" t="s">
        <v>22</v>
      </c>
      <c r="F6" s="6" t="s">
        <v>567</v>
      </c>
      <c r="G6" s="6" t="s">
        <v>671</v>
      </c>
      <c r="H6" s="6" t="s">
        <v>672</v>
      </c>
      <c r="I6" s="6" t="s">
        <v>673</v>
      </c>
    </row>
    <row r="7" spans="2:9" ht="30" customHeight="1" x14ac:dyDescent="0.25">
      <c r="B7" s="6" t="s">
        <v>674</v>
      </c>
      <c r="C7" s="6" t="s">
        <v>675</v>
      </c>
      <c r="D7" s="6" t="s">
        <v>568</v>
      </c>
      <c r="E7" s="6" t="s">
        <v>33</v>
      </c>
      <c r="F7" s="6" t="s">
        <v>571</v>
      </c>
      <c r="G7" s="6" t="s">
        <v>676</v>
      </c>
      <c r="H7" s="6" t="s">
        <v>672</v>
      </c>
      <c r="I7" s="6" t="s">
        <v>677</v>
      </c>
    </row>
    <row r="8" spans="2:9" ht="30" customHeight="1" x14ac:dyDescent="0.25">
      <c r="B8" s="6" t="s">
        <v>678</v>
      </c>
      <c r="C8" s="6" t="s">
        <v>679</v>
      </c>
      <c r="D8" s="6" t="s">
        <v>572</v>
      </c>
      <c r="E8" s="6" t="s">
        <v>42</v>
      </c>
      <c r="F8" s="6" t="s">
        <v>575</v>
      </c>
      <c r="G8" s="6" t="s">
        <v>680</v>
      </c>
      <c r="H8" s="6" t="s">
        <v>611</v>
      </c>
      <c r="I8" s="6" t="s">
        <v>681</v>
      </c>
    </row>
    <row r="9" spans="2:9" ht="30" customHeight="1" x14ac:dyDescent="0.25">
      <c r="B9" s="6" t="s">
        <v>682</v>
      </c>
      <c r="C9" s="6" t="s">
        <v>683</v>
      </c>
      <c r="D9" s="6" t="s">
        <v>572</v>
      </c>
      <c r="E9" s="6" t="s">
        <v>595</v>
      </c>
      <c r="F9" s="6" t="s">
        <v>575</v>
      </c>
      <c r="G9" s="6" t="s">
        <v>684</v>
      </c>
      <c r="H9" s="6" t="s">
        <v>611</v>
      </c>
      <c r="I9" s="6" t="s">
        <v>685</v>
      </c>
    </row>
    <row r="10" spans="2:9" ht="30" customHeight="1" x14ac:dyDescent="0.25">
      <c r="B10" s="6" t="s">
        <v>686</v>
      </c>
      <c r="C10" s="6" t="s">
        <v>687</v>
      </c>
      <c r="D10" s="6" t="s">
        <v>576</v>
      </c>
      <c r="E10" s="6" t="s">
        <v>595</v>
      </c>
      <c r="F10" s="6" t="s">
        <v>579</v>
      </c>
      <c r="G10" s="6" t="s">
        <v>688</v>
      </c>
      <c r="H10" s="6" t="s">
        <v>520</v>
      </c>
      <c r="I10" s="6" t="s">
        <v>689</v>
      </c>
    </row>
    <row r="11" spans="2:9" ht="30" customHeight="1" x14ac:dyDescent="0.25">
      <c r="B11" s="6" t="s">
        <v>690</v>
      </c>
      <c r="C11" s="6" t="s">
        <v>691</v>
      </c>
      <c r="D11" s="6" t="s">
        <v>692</v>
      </c>
      <c r="E11" s="6" t="s">
        <v>587</v>
      </c>
      <c r="F11" s="6" t="s">
        <v>501</v>
      </c>
      <c r="G11" s="6" t="s">
        <v>693</v>
      </c>
      <c r="H11" s="6" t="s">
        <v>520</v>
      </c>
      <c r="I11" s="6" t="s">
        <v>694</v>
      </c>
    </row>
    <row r="12" spans="2:9" ht="30" customHeight="1" x14ac:dyDescent="0.25">
      <c r="B12" s="6" t="s">
        <v>695</v>
      </c>
      <c r="C12" s="6" t="s">
        <v>696</v>
      </c>
      <c r="D12" s="6" t="s">
        <v>697</v>
      </c>
      <c r="E12" s="6" t="s">
        <v>595</v>
      </c>
      <c r="F12" s="6" t="s">
        <v>597</v>
      </c>
      <c r="G12" s="6" t="s">
        <v>698</v>
      </c>
      <c r="H12" s="6" t="s">
        <v>611</v>
      </c>
      <c r="I12" s="6" t="s">
        <v>699</v>
      </c>
    </row>
    <row r="13" spans="2:9" ht="30" customHeight="1" x14ac:dyDescent="0.25">
      <c r="B13" s="6" t="s">
        <v>700</v>
      </c>
      <c r="C13" s="6" t="s">
        <v>701</v>
      </c>
      <c r="D13" s="6" t="s">
        <v>613</v>
      </c>
      <c r="E13" s="6" t="s">
        <v>22</v>
      </c>
      <c r="F13" s="6" t="s">
        <v>616</v>
      </c>
      <c r="G13" s="6" t="s">
        <v>519</v>
      </c>
      <c r="H13" s="6" t="s">
        <v>520</v>
      </c>
      <c r="I13" s="6" t="s">
        <v>702</v>
      </c>
    </row>
  </sheetData>
  <conditionalFormatting sqref="H6:H13">
    <cfRule type="cellIs" dxfId="4" priority="2" operator="equal">
      <formula>"Open"</formula>
    </cfRule>
    <cfRule type="cellIs" dxfId="3" priority="3" operator="equal">
      <formula>"In Progress"</formula>
    </cfRule>
    <cfRule type="cellIs" dxfId="2" priority="4" operator="equal">
      <formula>"Closed"</formula>
    </cfRule>
  </conditionalFormatting>
  <dataValidations count="1">
    <dataValidation type="list" sqref="H6:H13" xr:uid="{00000000-0002-0000-0700-000000000000}">
      <formula1>"Open,In Progress,Closed,Blocked"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F10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 x14ac:dyDescent="0.25"/>
  <cols>
    <col min="2" max="2" width="8" customWidth="1"/>
    <col min="3" max="3" width="11" customWidth="1"/>
    <col min="4" max="4" width="52" customWidth="1"/>
    <col min="5" max="5" width="20" customWidth="1"/>
    <col min="6" max="6" width="54" customWidth="1"/>
  </cols>
  <sheetData>
    <row r="2" spans="2:6" ht="19.5" x14ac:dyDescent="0.3">
      <c r="B2" s="3" t="s">
        <v>703</v>
      </c>
    </row>
    <row r="3" spans="2:6" x14ac:dyDescent="0.25">
      <c r="B3" s="4" t="s">
        <v>704</v>
      </c>
    </row>
    <row r="5" spans="2:6" ht="27.75" customHeight="1" x14ac:dyDescent="0.25">
      <c r="B5" s="5" t="s">
        <v>2</v>
      </c>
      <c r="C5" s="5" t="s">
        <v>705</v>
      </c>
      <c r="D5" s="5" t="s">
        <v>706</v>
      </c>
      <c r="E5" s="5" t="s">
        <v>707</v>
      </c>
      <c r="F5" s="5" t="s">
        <v>708</v>
      </c>
    </row>
    <row r="6" spans="2:6" ht="48" customHeight="1" x14ac:dyDescent="0.25">
      <c r="B6" s="6" t="s">
        <v>709</v>
      </c>
      <c r="C6" s="6" t="s">
        <v>634</v>
      </c>
      <c r="D6" s="6" t="s">
        <v>710</v>
      </c>
      <c r="E6" s="6" t="s">
        <v>633</v>
      </c>
      <c r="F6" s="6" t="s">
        <v>711</v>
      </c>
    </row>
    <row r="7" spans="2:6" ht="48" customHeight="1" x14ac:dyDescent="0.25">
      <c r="B7" s="6" t="s">
        <v>712</v>
      </c>
      <c r="C7" s="6" t="s">
        <v>640</v>
      </c>
      <c r="D7" s="6" t="s">
        <v>713</v>
      </c>
      <c r="E7" s="6" t="s">
        <v>633</v>
      </c>
      <c r="F7" s="6" t="s">
        <v>714</v>
      </c>
    </row>
    <row r="8" spans="2:6" ht="48" customHeight="1" x14ac:dyDescent="0.25">
      <c r="B8" s="6" t="s">
        <v>715</v>
      </c>
      <c r="C8" s="6" t="s">
        <v>267</v>
      </c>
      <c r="D8" s="6" t="s">
        <v>716</v>
      </c>
      <c r="E8" s="6" t="s">
        <v>633</v>
      </c>
      <c r="F8" s="6" t="s">
        <v>717</v>
      </c>
    </row>
    <row r="9" spans="2:6" ht="48" customHeight="1" x14ac:dyDescent="0.25">
      <c r="B9" s="6" t="s">
        <v>718</v>
      </c>
      <c r="C9" s="6" t="s">
        <v>656</v>
      </c>
      <c r="D9" s="6" t="s">
        <v>719</v>
      </c>
      <c r="E9" s="6" t="s">
        <v>633</v>
      </c>
      <c r="F9" s="6" t="s">
        <v>720</v>
      </c>
    </row>
    <row r="10" spans="2:6" ht="48" customHeight="1" x14ac:dyDescent="0.25">
      <c r="B10" s="6" t="s">
        <v>721</v>
      </c>
      <c r="C10" s="6" t="s">
        <v>579</v>
      </c>
      <c r="D10" s="6" t="s">
        <v>722</v>
      </c>
      <c r="E10" s="6" t="s">
        <v>723</v>
      </c>
      <c r="F10" s="6" t="s">
        <v>724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H13"/>
  <sheetViews>
    <sheetView showGridLines="0" zoomScaleNormal="100" workbookViewId="0"/>
  </sheetViews>
  <sheetFormatPr defaultColWidth="8.7109375" defaultRowHeight="15" x14ac:dyDescent="0.25"/>
  <cols>
    <col min="2" max="2" width="7" customWidth="1"/>
    <col min="3" max="3" width="34" customWidth="1"/>
    <col min="4" max="6" width="13" customWidth="1"/>
    <col min="7" max="7" width="11" customWidth="1"/>
    <col min="8" max="8" width="13" customWidth="1"/>
  </cols>
  <sheetData>
    <row r="2" spans="2:8" ht="19.5" x14ac:dyDescent="0.3">
      <c r="B2" s="3" t="s">
        <v>725</v>
      </c>
    </row>
    <row r="3" spans="2:8" x14ac:dyDescent="0.25">
      <c r="B3" s="4" t="s">
        <v>726</v>
      </c>
    </row>
    <row r="5" spans="2:8" ht="27.75" customHeight="1" x14ac:dyDescent="0.25">
      <c r="B5" s="5" t="s">
        <v>2</v>
      </c>
      <c r="C5" s="5" t="s">
        <v>727</v>
      </c>
      <c r="D5" s="5" t="s">
        <v>728</v>
      </c>
      <c r="E5" s="5" t="s">
        <v>729</v>
      </c>
      <c r="F5" s="5" t="s">
        <v>730</v>
      </c>
      <c r="G5" s="5" t="s">
        <v>731</v>
      </c>
      <c r="H5" s="5" t="s">
        <v>89</v>
      </c>
    </row>
    <row r="6" spans="2:8" ht="21.75" customHeight="1" x14ac:dyDescent="0.25">
      <c r="B6" s="6" t="s">
        <v>732</v>
      </c>
      <c r="C6" s="6" t="s">
        <v>733</v>
      </c>
      <c r="D6" s="6" t="s">
        <v>602</v>
      </c>
      <c r="E6" s="6" t="s">
        <v>602</v>
      </c>
      <c r="F6" s="6" t="s">
        <v>602</v>
      </c>
      <c r="G6" s="6">
        <v>0</v>
      </c>
      <c r="H6" s="6" t="s">
        <v>734</v>
      </c>
    </row>
    <row r="7" spans="2:8" ht="21.75" customHeight="1" x14ac:dyDescent="0.25">
      <c r="B7" s="6" t="s">
        <v>735</v>
      </c>
      <c r="C7" s="6" t="s">
        <v>736</v>
      </c>
      <c r="D7" s="6" t="s">
        <v>737</v>
      </c>
      <c r="E7" s="6" t="s">
        <v>737</v>
      </c>
      <c r="F7" s="6" t="s">
        <v>738</v>
      </c>
      <c r="G7" s="6">
        <v>4</v>
      </c>
      <c r="H7" s="6" t="s">
        <v>739</v>
      </c>
    </row>
    <row r="8" spans="2:8" ht="21.75" customHeight="1" x14ac:dyDescent="0.25">
      <c r="B8" s="6" t="s">
        <v>740</v>
      </c>
      <c r="C8" s="6" t="s">
        <v>741</v>
      </c>
      <c r="D8" s="6" t="s">
        <v>486</v>
      </c>
      <c r="E8" s="6" t="s">
        <v>486</v>
      </c>
      <c r="F8" s="6" t="s">
        <v>742</v>
      </c>
      <c r="G8" s="6">
        <v>5</v>
      </c>
      <c r="H8" s="6" t="s">
        <v>739</v>
      </c>
    </row>
    <row r="9" spans="2:8" ht="21.75" customHeight="1" x14ac:dyDescent="0.25">
      <c r="B9" s="6" t="s">
        <v>743</v>
      </c>
      <c r="C9" s="6" t="s">
        <v>744</v>
      </c>
      <c r="D9" s="6" t="s">
        <v>525</v>
      </c>
      <c r="E9" s="6" t="s">
        <v>745</v>
      </c>
      <c r="F9" s="6" t="s">
        <v>49</v>
      </c>
      <c r="G9" s="6">
        <v>10</v>
      </c>
      <c r="H9" s="6" t="s">
        <v>746</v>
      </c>
    </row>
    <row r="10" spans="2:8" ht="21.75" customHeight="1" x14ac:dyDescent="0.25">
      <c r="B10" s="6" t="s">
        <v>747</v>
      </c>
      <c r="C10" s="6" t="s">
        <v>748</v>
      </c>
      <c r="D10" s="6" t="s">
        <v>749</v>
      </c>
      <c r="E10" s="6" t="s">
        <v>750</v>
      </c>
      <c r="F10" s="6" t="s">
        <v>49</v>
      </c>
      <c r="G10" s="6">
        <v>10</v>
      </c>
      <c r="H10" s="6" t="s">
        <v>746</v>
      </c>
    </row>
    <row r="11" spans="2:8" ht="21.75" customHeight="1" x14ac:dyDescent="0.25">
      <c r="B11" s="6" t="s">
        <v>751</v>
      </c>
      <c r="C11" s="6" t="s">
        <v>752</v>
      </c>
      <c r="D11" s="6" t="s">
        <v>753</v>
      </c>
      <c r="E11" s="6" t="s">
        <v>754</v>
      </c>
      <c r="F11" s="6" t="s">
        <v>49</v>
      </c>
      <c r="G11" s="6">
        <v>10</v>
      </c>
      <c r="H11" s="6" t="s">
        <v>746</v>
      </c>
    </row>
    <row r="13" spans="2:8" x14ac:dyDescent="0.25">
      <c r="B13" s="31" t="s">
        <v>755</v>
      </c>
    </row>
  </sheetData>
  <conditionalFormatting sqref="H6:H11">
    <cfRule type="cellIs" dxfId="1" priority="2" operator="equal">
      <formula>"At Risk"</formula>
    </cfRule>
    <cfRule type="cellIs" dxfId="0" priority="3" operator="equal">
      <formula>"Missed"</formula>
    </cfRule>
  </conditionalFormatting>
  <dataValidations count="1">
    <dataValidation type="list" sqref="H6:H11" xr:uid="{00000000-0002-0000-0900-000000000000}">
      <formula1>"Met,Met (late),On Track,At Risk,Missed"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J37"/>
  <sheetViews>
    <sheetView showGridLines="0" zoomScaleNormal="100" workbookViewId="0"/>
  </sheetViews>
  <sheetFormatPr defaultColWidth="8.7109375" defaultRowHeight="15" x14ac:dyDescent="0.25"/>
  <cols>
    <col min="1" max="1" width="2" customWidth="1"/>
    <col min="2" max="2" width="24" customWidth="1"/>
    <col min="3" max="3" width="14" customWidth="1"/>
  </cols>
  <sheetData>
    <row r="2" spans="2:10" ht="19.5" x14ac:dyDescent="0.3">
      <c r="B2" s="3" t="s">
        <v>756</v>
      </c>
    </row>
    <row r="3" spans="2:10" x14ac:dyDescent="0.25">
      <c r="B3" s="4" t="s">
        <v>757</v>
      </c>
    </row>
    <row r="5" spans="2:10" x14ac:dyDescent="0.25">
      <c r="B5" s="14" t="s">
        <v>758</v>
      </c>
      <c r="C5" s="32" t="s">
        <v>759</v>
      </c>
    </row>
    <row r="6" spans="2:10" x14ac:dyDescent="0.25">
      <c r="B6" s="14" t="s">
        <v>760</v>
      </c>
      <c r="C6" s="32" t="s">
        <v>759</v>
      </c>
    </row>
    <row r="7" spans="2:10" x14ac:dyDescent="0.25">
      <c r="B7" s="14" t="s">
        <v>761</v>
      </c>
      <c r="C7" s="32" t="s">
        <v>759</v>
      </c>
    </row>
    <row r="8" spans="2:10" x14ac:dyDescent="0.25">
      <c r="B8" s="14" t="s">
        <v>762</v>
      </c>
      <c r="C8" s="33" t="s">
        <v>763</v>
      </c>
    </row>
    <row r="9" spans="2:10" x14ac:dyDescent="0.25">
      <c r="B9" s="14" t="s">
        <v>764</v>
      </c>
      <c r="C9" s="33" t="s">
        <v>763</v>
      </c>
    </row>
    <row r="10" spans="2:10" x14ac:dyDescent="0.25">
      <c r="B10" s="2" t="s">
        <v>765</v>
      </c>
      <c r="C10" s="2"/>
      <c r="D10" s="2"/>
      <c r="E10" s="2"/>
      <c r="F10" s="2"/>
      <c r="G10" s="2"/>
      <c r="H10" s="2"/>
      <c r="I10" s="2"/>
      <c r="J10" s="2"/>
    </row>
    <row r="11" spans="2:10" x14ac:dyDescent="0.25">
      <c r="B11" s="2" t="s">
        <v>766</v>
      </c>
      <c r="C11" s="2"/>
      <c r="D11" s="2"/>
      <c r="E11" s="2"/>
      <c r="F11" s="2"/>
      <c r="G11" s="2"/>
      <c r="H11" s="2"/>
      <c r="I11" s="2"/>
      <c r="J11" s="2"/>
    </row>
    <row r="13" spans="2:10" ht="15.75" x14ac:dyDescent="0.25">
      <c r="B13" s="25" t="s">
        <v>767</v>
      </c>
    </row>
    <row r="14" spans="2:10" ht="25.5" customHeight="1" x14ac:dyDescent="0.25">
      <c r="B14" s="1" t="s">
        <v>768</v>
      </c>
      <c r="C14" s="1"/>
      <c r="D14" s="1"/>
      <c r="E14" s="1"/>
      <c r="F14" s="1"/>
      <c r="G14" s="1"/>
      <c r="H14" s="1"/>
      <c r="I14" s="1"/>
      <c r="J14" s="1"/>
    </row>
    <row r="15" spans="2:10" ht="25.5" customHeight="1" x14ac:dyDescent="0.25">
      <c r="B15" s="1" t="s">
        <v>769</v>
      </c>
      <c r="C15" s="1"/>
      <c r="D15" s="1"/>
      <c r="E15" s="1"/>
      <c r="F15" s="1"/>
      <c r="G15" s="1"/>
      <c r="H15" s="1"/>
      <c r="I15" s="1"/>
      <c r="J15" s="1"/>
    </row>
    <row r="16" spans="2:10" ht="25.5" customHeight="1" x14ac:dyDescent="0.25">
      <c r="B16" s="1" t="s">
        <v>770</v>
      </c>
      <c r="C16" s="1"/>
      <c r="D16" s="1"/>
      <c r="E16" s="1"/>
      <c r="F16" s="1"/>
      <c r="G16" s="1"/>
      <c r="H16" s="1"/>
      <c r="I16" s="1"/>
      <c r="J16" s="1"/>
    </row>
    <row r="17" spans="2:10" ht="25.5" customHeight="1" x14ac:dyDescent="0.25">
      <c r="B17" s="1" t="s">
        <v>771</v>
      </c>
      <c r="C17" s="1"/>
      <c r="D17" s="1"/>
      <c r="E17" s="1"/>
      <c r="F17" s="1"/>
      <c r="G17" s="1"/>
      <c r="H17" s="1"/>
      <c r="I17" s="1"/>
      <c r="J17" s="1"/>
    </row>
    <row r="19" spans="2:10" ht="15.75" x14ac:dyDescent="0.25">
      <c r="B19" s="25" t="s">
        <v>772</v>
      </c>
    </row>
    <row r="20" spans="2:10" ht="25.5" customHeight="1" x14ac:dyDescent="0.25">
      <c r="B20" s="1" t="s">
        <v>773</v>
      </c>
      <c r="C20" s="1"/>
      <c r="D20" s="1"/>
      <c r="E20" s="1"/>
      <c r="F20" s="1"/>
      <c r="G20" s="1"/>
      <c r="H20" s="1"/>
      <c r="I20" s="1"/>
      <c r="J20" s="1"/>
    </row>
    <row r="21" spans="2:10" ht="25.5" customHeight="1" x14ac:dyDescent="0.25">
      <c r="B21" s="1" t="s">
        <v>774</v>
      </c>
      <c r="C21" s="1"/>
      <c r="D21" s="1"/>
      <c r="E21" s="1"/>
      <c r="F21" s="1"/>
      <c r="G21" s="1"/>
      <c r="H21" s="1"/>
      <c r="I21" s="1"/>
      <c r="J21" s="1"/>
    </row>
    <row r="22" spans="2:10" ht="25.5" customHeight="1" x14ac:dyDescent="0.25">
      <c r="B22" s="1" t="s">
        <v>775</v>
      </c>
      <c r="C22" s="1"/>
      <c r="D22" s="1"/>
      <c r="E22" s="1"/>
      <c r="F22" s="1"/>
      <c r="G22" s="1"/>
      <c r="H22" s="1"/>
      <c r="I22" s="1"/>
      <c r="J22" s="1"/>
    </row>
    <row r="24" spans="2:10" ht="15.75" x14ac:dyDescent="0.25">
      <c r="B24" s="25" t="s">
        <v>776</v>
      </c>
    </row>
    <row r="25" spans="2:10" ht="25.5" customHeight="1" x14ac:dyDescent="0.25">
      <c r="B25" s="1" t="s">
        <v>777</v>
      </c>
      <c r="C25" s="1"/>
      <c r="D25" s="1"/>
      <c r="E25" s="1"/>
      <c r="F25" s="1"/>
      <c r="G25" s="1"/>
      <c r="H25" s="1"/>
      <c r="I25" s="1"/>
      <c r="J25" s="1"/>
    </row>
    <row r="26" spans="2:10" ht="25.5" customHeight="1" x14ac:dyDescent="0.25">
      <c r="B26" s="1" t="s">
        <v>778</v>
      </c>
      <c r="C26" s="1"/>
      <c r="D26" s="1"/>
      <c r="E26" s="1"/>
      <c r="F26" s="1"/>
      <c r="G26" s="1"/>
      <c r="H26" s="1"/>
      <c r="I26" s="1"/>
      <c r="J26" s="1"/>
    </row>
    <row r="27" spans="2:10" ht="25.5" customHeight="1" x14ac:dyDescent="0.25">
      <c r="B27" s="1" t="s">
        <v>779</v>
      </c>
      <c r="C27" s="1"/>
      <c r="D27" s="1"/>
      <c r="E27" s="1"/>
      <c r="F27" s="1"/>
      <c r="G27" s="1"/>
      <c r="H27" s="1"/>
      <c r="I27" s="1"/>
      <c r="J27" s="1"/>
    </row>
    <row r="29" spans="2:10" ht="15.75" x14ac:dyDescent="0.25">
      <c r="B29" s="25" t="s">
        <v>780</v>
      </c>
    </row>
    <row r="30" spans="2:10" ht="25.5" customHeight="1" x14ac:dyDescent="0.25">
      <c r="B30" s="1" t="s">
        <v>781</v>
      </c>
      <c r="C30" s="1"/>
      <c r="D30" s="1"/>
      <c r="E30" s="1"/>
      <c r="F30" s="1"/>
      <c r="G30" s="1"/>
      <c r="H30" s="1"/>
      <c r="I30" s="1"/>
      <c r="J30" s="1"/>
    </row>
    <row r="31" spans="2:10" ht="25.5" customHeight="1" x14ac:dyDescent="0.25">
      <c r="B31" s="1" t="s">
        <v>782</v>
      </c>
      <c r="C31" s="1"/>
      <c r="D31" s="1"/>
      <c r="E31" s="1"/>
      <c r="F31" s="1"/>
      <c r="G31" s="1"/>
      <c r="H31" s="1"/>
      <c r="I31" s="1"/>
      <c r="J31" s="1"/>
    </row>
    <row r="33" spans="2:10" ht="15.75" x14ac:dyDescent="0.25">
      <c r="B33" s="25" t="s">
        <v>783</v>
      </c>
    </row>
    <row r="34" spans="2:10" ht="25.5" customHeight="1" x14ac:dyDescent="0.25">
      <c r="B34" s="1" t="s">
        <v>784</v>
      </c>
      <c r="C34" s="1"/>
      <c r="D34" s="1"/>
      <c r="E34" s="1"/>
      <c r="F34" s="1"/>
      <c r="G34" s="1"/>
      <c r="H34" s="1"/>
      <c r="I34" s="1"/>
      <c r="J34" s="1"/>
    </row>
    <row r="35" spans="2:10" ht="25.5" customHeight="1" x14ac:dyDescent="0.25">
      <c r="B35" s="1" t="s">
        <v>785</v>
      </c>
      <c r="C35" s="1"/>
      <c r="D35" s="1"/>
      <c r="E35" s="1"/>
      <c r="F35" s="1"/>
      <c r="G35" s="1"/>
      <c r="H35" s="1"/>
      <c r="I35" s="1"/>
      <c r="J35" s="1"/>
    </row>
    <row r="36" spans="2:10" ht="25.5" customHeight="1" x14ac:dyDescent="0.25">
      <c r="B36" s="1" t="s">
        <v>786</v>
      </c>
      <c r="C36" s="1"/>
      <c r="D36" s="1"/>
      <c r="E36" s="1"/>
      <c r="F36" s="1"/>
      <c r="G36" s="1"/>
      <c r="H36" s="1"/>
      <c r="I36" s="1"/>
      <c r="J36" s="1"/>
    </row>
    <row r="37" spans="2:10" ht="25.5" customHeight="1" x14ac:dyDescent="0.25">
      <c r="B37" s="1" t="s">
        <v>787</v>
      </c>
      <c r="C37" s="1"/>
      <c r="D37" s="1"/>
      <c r="E37" s="1"/>
      <c r="F37" s="1"/>
      <c r="G37" s="1"/>
      <c r="H37" s="1"/>
      <c r="I37" s="1"/>
      <c r="J37" s="1"/>
    </row>
  </sheetData>
  <mergeCells count="18">
    <mergeCell ref="B35:J35"/>
    <mergeCell ref="B36:J36"/>
    <mergeCell ref="B37:J37"/>
    <mergeCell ref="B26:J26"/>
    <mergeCell ref="B27:J27"/>
    <mergeCell ref="B30:J30"/>
    <mergeCell ref="B31:J31"/>
    <mergeCell ref="B34:J34"/>
    <mergeCell ref="B17:J17"/>
    <mergeCell ref="B20:J20"/>
    <mergeCell ref="B21:J21"/>
    <mergeCell ref="B22:J22"/>
    <mergeCell ref="B25:J25"/>
    <mergeCell ref="B10:J10"/>
    <mergeCell ref="B11:J11"/>
    <mergeCell ref="B14:J14"/>
    <mergeCell ref="B15:J15"/>
    <mergeCell ref="B16:J1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Stakeholder Register</vt:lpstr>
      <vt:lpstr>Budget</vt:lpstr>
      <vt:lpstr>Actuals (D365 Export)</vt:lpstr>
      <vt:lpstr>Committed POs</vt:lpstr>
      <vt:lpstr>Cost Dashboard</vt:lpstr>
      <vt:lpstr>RAID Log</vt:lpstr>
      <vt:lpstr>Change Control Log</vt:lpstr>
      <vt:lpstr>Action Register</vt:lpstr>
      <vt:lpstr>Decision Log</vt:lpstr>
      <vt:lpstr>Milestone Tracker</vt:lpstr>
      <vt:lpstr>Status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Keshav Gite</cp:lastModifiedBy>
  <cp:revision>1</cp:revision>
  <dcterms:created xsi:type="dcterms:W3CDTF">2026-07-11T05:22:12Z</dcterms:created>
  <dcterms:modified xsi:type="dcterms:W3CDTF">2026-07-16T01:11:23Z</dcterms:modified>
  <dc:language>en-US</dc:language>
</cp:coreProperties>
</file>