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Dashboard" sheetId="1" state="visible" r:id="rId3"/>
    <sheet name="Projects" sheetId="2" state="visible" r:id="rId4"/>
    <sheet name="Budget" sheetId="3" state="visible" r:id="rId5"/>
    <sheet name="Actuals" sheetId="4" state="visible" r:id="rId6"/>
    <sheet name="Committed" sheetId="5" state="visible" r:id="rId7"/>
    <sheet name="Milestones" sheetId="6" state="visible" r:id="rId8"/>
    <sheet name="Benefits" sheetId="7" state="visible" r:id="rId9"/>
    <sheet name="PM Reported RAG" sheetId="8" state="visible" r:id="rId10"/>
    <sheet name="Resources" sheetId="9" state="visible" r:id="rId11"/>
    <sheet name="Allocations (RAW)" sheetId="10" state="visible" r:id="rId12"/>
    <sheet name="Time &amp; Expense" sheetId="11" state="visible" r:id="rId13"/>
    <sheet name="Capacity Dashboard" sheetId="12" state="visible" r:id="rId14"/>
    <sheet name="Defect Log" sheetId="13" state="visible" r:id="rId15"/>
    <sheet name="RAID Log" sheetId="14" state="visible" r:id="rId16"/>
    <sheet name="Decision Log" sheetId="15" state="visible" r:id="rId17"/>
    <sheet name="Governance Standards" sheetId="16" state="visible" r:id="rId18"/>
    <sheet name="Portfolio Status Report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<sst xmlns="http://schemas.openxmlformats.org/spreadsheetml/2006/main" count="6398" uniqueCount="1224">
  <si>
    <t xml:space="preserve">Portfolio Dashboard</t>
  </si>
  <si>
    <t xml:space="preserve">Meridian Digital Consulting · 6 active projects · period ending 31 Aug 2026 (month 8 of 12). Every figure computes from the data tabs — change an input and this refreshes.</t>
  </si>
  <si>
    <t xml:space="preserve">PORTFOLIO HEADLINE</t>
  </si>
  <si>
    <t xml:space="preserve">Portfolio revenue</t>
  </si>
  <si>
    <t xml:space="preserve">Cost budget</t>
  </si>
  <si>
    <t xml:space="preserve">Actual cost to date</t>
  </si>
  <si>
    <t xml:space="preserve">Committed cost</t>
  </si>
  <si>
    <t xml:space="preserve">Forecast cost (EAC)</t>
  </si>
  <si>
    <t xml:space="preserve">Planned margin</t>
  </si>
  <si>
    <t xml:space="preserve">Forecast margin</t>
  </si>
  <si>
    <t xml:space="preserve">Margin erosion</t>
  </si>
  <si>
    <t xml:space="preserve">BY PROJECT — computed status vs what the PM reported</t>
  </si>
  <si>
    <t xml:space="preserve">Project</t>
  </si>
  <si>
    <t xml:space="preserve">PM</t>
  </si>
  <si>
    <t xml:space="preserve">Revenue</t>
  </si>
  <si>
    <t xml:space="preserve">Cost Budget</t>
  </si>
  <si>
    <t xml:space="preserve">YTD Budget</t>
  </si>
  <si>
    <t xml:space="preserve">Actual</t>
  </si>
  <si>
    <t xml:space="preserve">Committed</t>
  </si>
  <si>
    <t xml:space="preserve">Forecast (EAC)</t>
  </si>
  <si>
    <t xml:space="preserve">Variance</t>
  </si>
  <si>
    <t xml:space="preserve">Var %</t>
  </si>
  <si>
    <t xml:space="preserve">Margin %</t>
  </si>
  <si>
    <t xml:space="preserve">COMPUTED RAG</t>
  </si>
  <si>
    <t xml:space="preserve">PM SAID</t>
  </si>
  <si>
    <t xml:space="preserve">FLAG</t>
  </si>
  <si>
    <t xml:space="preserve">PORTFOLIO</t>
  </si>
  <si>
    <t xml:space="preserve">DELIVERY HEALTH</t>
  </si>
  <si>
    <t xml:space="preserve">Milestones at risk</t>
  </si>
  <si>
    <t xml:space="preserve">Milestones met late</t>
  </si>
  <si>
    <t xml:space="preserve">Worst milestone slip (days)</t>
  </si>
  <si>
    <t xml:space="preserve">Benefits Red or Dropped</t>
  </si>
  <si>
    <t xml:space="preserve">Projects PM-reported Green but computed worse</t>
  </si>
  <si>
    <t xml:space="preserve">Project Portfolio — master</t>
  </si>
  <si>
    <t xml:space="preserve">6 client projects · revenue, cost budget, PM. All dashboard figures compute from this data.</t>
  </si>
  <si>
    <t xml:space="preserve">Project ID</t>
  </si>
  <si>
    <t xml:space="preserve">Project Name</t>
  </si>
  <si>
    <t xml:space="preserve">Billing Type</t>
  </si>
  <si>
    <t xml:space="preserve">Contract Value (Revenue)</t>
  </si>
  <si>
    <t xml:space="preserve">Start</t>
  </si>
  <si>
    <t xml:space="preserve">End</t>
  </si>
  <si>
    <t xml:space="preserve">Project Manager</t>
  </si>
  <si>
    <t xml:space="preserve">PRJ-OP-201</t>
  </si>
  <si>
    <t xml:space="preserve">Retail Bank Mobile App Rollout</t>
  </si>
  <si>
    <t xml:space="preserve">Fixed Price</t>
  </si>
  <si>
    <t xml:space="preserve">2026-01-12</t>
  </si>
  <si>
    <t xml:space="preserve">2026-08-28</t>
  </si>
  <si>
    <t xml:space="preserve">G. Liu</t>
  </si>
  <si>
    <t xml:space="preserve">PRJ-OP-202</t>
  </si>
  <si>
    <t xml:space="preserve">Wealth Platform Data Migration</t>
  </si>
  <si>
    <t xml:space="preserve">Time &amp; Material</t>
  </si>
  <si>
    <t xml:space="preserve">2026-02-02</t>
  </si>
  <si>
    <t xml:space="preserve">2026-09-30</t>
  </si>
  <si>
    <t xml:space="preserve">PRJ-OP-203</t>
  </si>
  <si>
    <t xml:space="preserve">Insurance Claims Automation</t>
  </si>
  <si>
    <t xml:space="preserve">2026-01-05</t>
  </si>
  <si>
    <t xml:space="preserve">2026-11-20</t>
  </si>
  <si>
    <t xml:space="preserve">O. Haddad</t>
  </si>
  <si>
    <t xml:space="preserve">PRJ-OP-204</t>
  </si>
  <si>
    <t xml:space="preserve">Core Banking API Layer</t>
  </si>
  <si>
    <t xml:space="preserve">2026-03-16</t>
  </si>
  <si>
    <t xml:space="preserve">2026-10-15</t>
  </si>
  <si>
    <t xml:space="preserve">PRJ-OP-205</t>
  </si>
  <si>
    <t xml:space="preserve">Regulatory Reporting Dashboard</t>
  </si>
  <si>
    <t xml:space="preserve">2026-04-01</t>
  </si>
  <si>
    <t xml:space="preserve">2026-08-14</t>
  </si>
  <si>
    <t xml:space="preserve">PRJ-OP-206</t>
  </si>
  <si>
    <t xml:space="preserve">Payments Fraud Model Uplift</t>
  </si>
  <si>
    <t xml:space="preserve">2026-02-23</t>
  </si>
  <si>
    <t xml:space="preserve">2026-12-04</t>
  </si>
  <si>
    <t xml:space="preserve">Cost Budget — by project by month</t>
  </si>
  <si>
    <t xml:space="preserve">Baselined plan. Total column drives the dashboard.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</si>
  <si>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</si>
  <si>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</si>
  <si>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</si>
  <si>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</si>
  <si>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</si>
  <si>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</si>
  <si>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</si>
  <si>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</si>
  <si>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</si>
  <si>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</si>
  <si>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</si>
  <si>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</si>
  <si>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Cost Budget</t>
  </si>
  <si>
    <t xml:space="preserve">Actual Cost — by project by month</t>
  </si>
  <si>
    <t xml:space="preserve">Posted actuals through August (month 8 of 12). Sep–Dec are zero — not yet incurred.</t>
  </si>
  <si>
    <t xml:space="preserve">Total Actual</t>
  </si>
  <si>
    <t xml:space="preserve">Committed Cost — raised, not yet in actuals</t>
  </si>
  <si>
    <t xml:space="preserve">Contracted extensions and open POs. THIS is what turns a Green project Red.</t>
  </si>
  <si>
    <t xml:space="preserve">Committed Cost</t>
  </si>
  <si>
    <t xml:space="preserve">Description</t>
  </si>
  <si>
    <t xml:space="preserve">Hypercare support extension</t>
  </si>
  <si>
    <t xml:space="preserve">Contract data engineer Sep-Oct</t>
  </si>
  <si>
    <t xml:space="preserve">2 contractors extended to Nov + licence uplift</t>
  </si>
  <si>
    <t xml:space="preserve">API gateway licences</t>
  </si>
  <si>
    <t xml:space="preserve">None</t>
  </si>
  <si>
    <t xml:space="preserve">ML specialist extension to Dec</t>
  </si>
  <si>
    <t xml:space="preserve">TOTAL</t>
  </si>
  <si>
    <t xml:space="preserve">Milestone Tracker — all projects</t>
  </si>
  <si>
    <t xml:space="preserve">Baseline vs forecast vs actual. Slippage is computed, not typed.</t>
  </si>
  <si>
    <t xml:space="preserve">Milestone ID</t>
  </si>
  <si>
    <t xml:space="preserve">Milestone</t>
  </si>
  <si>
    <t xml:space="preserve">Baseline Date</t>
  </si>
  <si>
    <t xml:space="preserve">Forecast Date</t>
  </si>
  <si>
    <t xml:space="preserve">Actual Date</t>
  </si>
  <si>
    <t xml:space="preserve">Status</t>
  </si>
  <si>
    <t xml:space="preserve">Slip (days)</t>
  </si>
  <si>
    <t xml:space="preserve">M1</t>
  </si>
  <si>
    <t xml:space="preserve">Design sign-off</t>
  </si>
  <si>
    <t xml:space="preserve">2026-02-20</t>
  </si>
  <si>
    <t xml:space="preserve">Met</t>
  </si>
  <si>
    <t xml:space="preserve">M2</t>
  </si>
  <si>
    <t xml:space="preserve">Build complete</t>
  </si>
  <si>
    <t xml:space="preserve">2026-05-29</t>
  </si>
  <si>
    <t xml:space="preserve">2026-06-05</t>
  </si>
  <si>
    <t xml:space="preserve">Met (late)</t>
  </si>
  <si>
    <t xml:space="preserve">M3</t>
  </si>
  <si>
    <t xml:space="preserve">UAT sign-off</t>
  </si>
  <si>
    <t xml:space="preserve">2026-07-24</t>
  </si>
  <si>
    <t xml:space="preserve">2026-07-31</t>
  </si>
  <si>
    <t xml:space="preserve">M4</t>
  </si>
  <si>
    <t xml:space="preserve">Go-live</t>
  </si>
  <si>
    <t xml:space="preserve">On Track</t>
  </si>
  <si>
    <t xml:space="preserve">Data mapping approved</t>
  </si>
  <si>
    <t xml:space="preserve">2026-03-13</t>
  </si>
  <si>
    <t xml:space="preserve">2026-03-27</t>
  </si>
  <si>
    <t xml:space="preserve">Trial migration</t>
  </si>
  <si>
    <t xml:space="preserve">2026-06-12</t>
  </si>
  <si>
    <t xml:space="preserve">2026-07-10</t>
  </si>
  <si>
    <t xml:space="preserve">Cutover</t>
  </si>
  <si>
    <t xml:space="preserve">2026-10-16</t>
  </si>
  <si>
    <t xml:space="preserve">At Risk</t>
  </si>
  <si>
    <t xml:space="preserve">Requirements baselined</t>
  </si>
  <si>
    <t xml:space="preserve">2026-02-13</t>
  </si>
  <si>
    <t xml:space="preserve">Model build complete</t>
  </si>
  <si>
    <t xml:space="preserve">2026-06-30</t>
  </si>
  <si>
    <t xml:space="preserve">2026-09-25</t>
  </si>
  <si>
    <t xml:space="preserve">2026-10-23</t>
  </si>
  <si>
    <t xml:space="preserve">2026-12-18</t>
  </si>
  <si>
    <t xml:space="preserve">API spec approved</t>
  </si>
  <si>
    <t xml:space="preserve">2026-04-17</t>
  </si>
  <si>
    <t xml:space="preserve">Integration complete</t>
  </si>
  <si>
    <t xml:space="preserve">2026-10-30</t>
  </si>
  <si>
    <t xml:space="preserve">Report specs signed</t>
  </si>
  <si>
    <t xml:space="preserve">2026-05-01</t>
  </si>
  <si>
    <t xml:space="preserve">Model design approved</t>
  </si>
  <si>
    <t xml:space="preserve">2026-04-10</t>
  </si>
  <si>
    <t xml:space="preserve">2026-04-24</t>
  </si>
  <si>
    <t xml:space="preserve">Training data ready</t>
  </si>
  <si>
    <t xml:space="preserve">2026-07-03</t>
  </si>
  <si>
    <t xml:space="preserve">2026-08-07</t>
  </si>
  <si>
    <t xml:space="preserve">Model validation</t>
  </si>
  <si>
    <t xml:space="preserve">2026-10-09</t>
  </si>
  <si>
    <t xml:space="preserve">2026-11-13</t>
  </si>
  <si>
    <t xml:space="preserve">Production deploy</t>
  </si>
  <si>
    <t xml:space="preserve">2027-01-15</t>
  </si>
  <si>
    <t xml:space="preserve">Benefits Register</t>
  </si>
  <si>
    <t xml:space="preserve">What each project promised vs what it is delivering. One benefit was quietly dropped — find it.</t>
  </si>
  <si>
    <t xml:space="preserve">Benefit ID</t>
  </si>
  <si>
    <t xml:space="preserve">Benefit</t>
  </si>
  <si>
    <t xml:space="preserve">Target</t>
  </si>
  <si>
    <t xml:space="preserve">Current</t>
  </si>
  <si>
    <t xml:space="preserve">RAG</t>
  </si>
  <si>
    <t xml:space="preserve">Note</t>
  </si>
  <si>
    <t xml:space="preserve">BEN-01</t>
  </si>
  <si>
    <t xml:space="preserve">Digital channel adoption +15%</t>
  </si>
  <si>
    <t xml:space="preserve">15% uplift</t>
  </si>
  <si>
    <t xml:space="preserve">12% (tracking)</t>
  </si>
  <si>
    <t xml:space="preserve">Amber</t>
  </si>
  <si>
    <t xml:space="preserve">Partial - adoption slower in 45+ segment</t>
  </si>
  <si>
    <t xml:space="preserve">BEN-02</t>
  </si>
  <si>
    <t xml:space="preserve">Legacy platform decommission saving $180K/yr</t>
  </si>
  <si>
    <t xml:space="preserve">$180K/yr</t>
  </si>
  <si>
    <t xml:space="preserve">Green</t>
  </si>
  <si>
    <t xml:space="preserve">On track - decommission scheduled post-cutover</t>
  </si>
  <si>
    <t xml:space="preserve">BEN-03</t>
  </si>
  <si>
    <t xml:space="preserve">Claims handling time -30%</t>
  </si>
  <si>
    <t xml:space="preserve">30% reduction</t>
  </si>
  <si>
    <t xml:space="preserve">22% (tracking)</t>
  </si>
  <si>
    <t xml:space="preserve">Automation scope reduced under CR-02</t>
  </si>
  <si>
    <t xml:space="preserve">BEN-04</t>
  </si>
  <si>
    <t xml:space="preserve">Partner integration time 6wks -&gt; 2wks</t>
  </si>
  <si>
    <t xml:space="preserve">4 wks saved</t>
  </si>
  <si>
    <t xml:space="preserve">Validated with 2 pilot partners</t>
  </si>
  <si>
    <t xml:space="preserve">BEN-05</t>
  </si>
  <si>
    <t xml:space="preserve">Regulatory reporting effort -40%</t>
  </si>
  <si>
    <t xml:space="preserve">40% reduction</t>
  </si>
  <si>
    <t xml:space="preserve">41%</t>
  </si>
  <si>
    <t xml:space="preserve">Delivered and measured post go-live</t>
  </si>
  <si>
    <t xml:space="preserve">BEN-06</t>
  </si>
  <si>
    <t xml:space="preserve">Fraud detection recall +8pts</t>
  </si>
  <si>
    <t xml:space="preserve">+8 pts</t>
  </si>
  <si>
    <t xml:space="preserve">Not yet measurable</t>
  </si>
  <si>
    <t xml:space="preserve">Grey</t>
  </si>
  <si>
    <t xml:space="preserve">Measurable only after production deploy</t>
  </si>
  <si>
    <t xml:space="preserve">BEN-07</t>
  </si>
  <si>
    <t xml:space="preserve">Branch call volume -10%</t>
  </si>
  <si>
    <t xml:space="preserve">10% reduction</t>
  </si>
  <si>
    <t xml:space="preserve">DROPPED</t>
  </si>
  <si>
    <t xml:space="preserve">Red</t>
  </si>
  <si>
    <t xml:space="preserve">Quietly de-scoped in month 4; never formally closed or re-baselined</t>
  </si>
  <si>
    <t xml:space="preserve">What the PMs self-report</t>
  </si>
  <si>
    <t xml:space="preserve">Compare against the computed RAG on the Portfolio Dashboard. Where they disagree is the PCO's job.</t>
  </si>
  <si>
    <t xml:space="preserve">PM Reported Overall</t>
  </si>
  <si>
    <t xml:space="preserve">PM Reported Cost</t>
  </si>
  <si>
    <t xml:space="preserve">PM Reported Schedule</t>
  </si>
  <si>
    <t xml:space="preserve">PM Commentary</t>
  </si>
  <si>
    <t xml:space="preserve">On track for Aug go-live</t>
  </si>
  <si>
    <t xml:space="preserve">Cutover date under pressure</t>
  </si>
  <si>
    <t xml:space="preserve">Reported on budget and on plan</t>
  </si>
  <si>
    <t xml:space="preserve">Integration slipping 2 weeks</t>
  </si>
  <si>
    <t xml:space="preserve">Delivered</t>
  </si>
  <si>
    <t xml:space="preserve">Model validation at risk</t>
  </si>
  <si>
    <t xml:space="preserve">Resource Master — the bench</t>
  </si>
  <si>
    <t xml:space="preserve">15 specialists · role, contracted capacity, cost &amp; bill rates.</t>
  </si>
  <si>
    <t xml:space="preserve">Resource ID</t>
  </si>
  <si>
    <t xml:space="preserve">Resource Name</t>
  </si>
  <si>
    <t xml:space="preserve">Role</t>
  </si>
  <si>
    <t xml:space="preserve">Resourcing Unit</t>
  </si>
  <si>
    <t xml:space="preserve">Capacity (hrs/wk)</t>
  </si>
  <si>
    <t xml:space="preserve">Cost Rate</t>
  </si>
  <si>
    <t xml:space="preserve">Bill Rate</t>
  </si>
  <si>
    <t xml:space="preserve">R-3001</t>
  </si>
  <si>
    <t xml:space="preserve">Amara Okafor</t>
  </si>
  <si>
    <t xml:space="preserve">Solution Architect</t>
  </si>
  <si>
    <t xml:space="preserve">Architecture</t>
  </si>
  <si>
    <t xml:space="preserve">R-3002</t>
  </si>
  <si>
    <t xml:space="preserve">Ben Carrow</t>
  </si>
  <si>
    <t xml:space="preserve">Senior Developer</t>
  </si>
  <si>
    <t xml:space="preserve">Engineering</t>
  </si>
  <si>
    <t xml:space="preserve">R-3003</t>
  </si>
  <si>
    <t xml:space="preserve">Priya Nair</t>
  </si>
  <si>
    <t xml:space="preserve">R-3004</t>
  </si>
  <si>
    <t xml:space="preserve">Daniel Kim</t>
  </si>
  <si>
    <t xml:space="preserve">Developer</t>
  </si>
  <si>
    <t xml:space="preserve">R-3005</t>
  </si>
  <si>
    <t xml:space="preserve">Sofia Rossi</t>
  </si>
  <si>
    <t xml:space="preserve">R-3006</t>
  </si>
  <si>
    <t xml:space="preserve">Marcus Bell</t>
  </si>
  <si>
    <t xml:space="preserve">QA Lead</t>
  </si>
  <si>
    <t xml:space="preserve">Quality</t>
  </si>
  <si>
    <t xml:space="preserve">R-3007</t>
  </si>
  <si>
    <t xml:space="preserve">Lena Fischer</t>
  </si>
  <si>
    <t xml:space="preserve">QA Analyst</t>
  </si>
  <si>
    <t xml:space="preserve">R-3008</t>
  </si>
  <si>
    <t xml:space="preserve">Tomas Vega</t>
  </si>
  <si>
    <t xml:space="preserve">Data Migration Specialist</t>
  </si>
  <si>
    <t xml:space="preserve">Data</t>
  </si>
  <si>
    <t xml:space="preserve">R-3009</t>
  </si>
  <si>
    <t xml:space="preserve">Hannah Wright</t>
  </si>
  <si>
    <t xml:space="preserve">Business Analyst</t>
  </si>
  <si>
    <t xml:space="preserve">Advisory</t>
  </si>
  <si>
    <t xml:space="preserve">R-3010</t>
  </si>
  <si>
    <t xml:space="preserve">Ravi Menon</t>
  </si>
  <si>
    <t xml:space="preserve">R-3011</t>
  </si>
  <si>
    <t xml:space="preserve">Grace Liu</t>
  </si>
  <si>
    <t xml:space="preserve">Delivery</t>
  </si>
  <si>
    <t xml:space="preserve">R-3012</t>
  </si>
  <si>
    <t xml:space="preserve">Omar Haddad</t>
  </si>
  <si>
    <t xml:space="preserve">Scrum Master</t>
  </si>
  <si>
    <t xml:space="preserve">R-3013</t>
  </si>
  <si>
    <t xml:space="preserve">Nina Patel</t>
  </si>
  <si>
    <t xml:space="preserve">Data Engineer</t>
  </si>
  <si>
    <t xml:space="preserve">R-3014</t>
  </si>
  <si>
    <t xml:space="preserve">Jack Thompson</t>
  </si>
  <si>
    <t xml:space="preserve">DevOps Engineer</t>
  </si>
  <si>
    <t xml:space="preserve">R-3015</t>
  </si>
  <si>
    <t xml:space="preserve">Yuki Tanaka</t>
  </si>
  <si>
    <t xml:space="preserve">UX Designer</t>
  </si>
  <si>
    <t xml:space="preserve">Design</t>
  </si>
  <si>
    <t xml:space="preserve">Resource Allocations — raw booking export</t>
  </si>
  <si>
    <t xml:space="preserve">351 rows. Contains 7 data defects — see the Defect Log.</t>
  </si>
  <si>
    <t xml:space="preserve">Allocation ID</t>
  </si>
  <si>
    <t xml:space="preserve">Week Starting</t>
  </si>
  <si>
    <t xml:space="preserve">Booked Hours</t>
  </si>
  <si>
    <t xml:space="preserve">Capacity</t>
  </si>
  <si>
    <t xml:space="preserve">Booking Status</t>
  </si>
  <si>
    <t xml:space="preserve">AL-70271</t>
  </si>
  <si>
    <t xml:space="preserve">2026-07-27</t>
  </si>
  <si>
    <t xml:space="preserve">Confirmed</t>
  </si>
  <si>
    <t xml:space="preserve">AL-70137</t>
  </si>
  <si>
    <t xml:space="preserve">AL-70201</t>
  </si>
  <si>
    <t xml:space="preserve">2026-07-06</t>
  </si>
  <si>
    <t xml:space="preserve">AL-70129</t>
  </si>
  <si>
    <t xml:space="preserve">2026-06-29</t>
  </si>
  <si>
    <t xml:space="preserve">AL-70183</t>
  </si>
  <si>
    <t xml:space="preserve">2026-08-03</t>
  </si>
  <si>
    <t xml:space="preserve">AL-70134</t>
  </si>
  <si>
    <t xml:space="preserve">2026-07-13</t>
  </si>
  <si>
    <t xml:space="preserve">AL-70196</t>
  </si>
  <si>
    <t xml:space="preserve">2026-06-22</t>
  </si>
  <si>
    <t xml:space="preserve">AL-70257</t>
  </si>
  <si>
    <t xml:space="preserve">2026-06-08</t>
  </si>
  <si>
    <t xml:space="preserve">AL-70029</t>
  </si>
  <si>
    <t xml:space="preserve">2026-06-15</t>
  </si>
  <si>
    <t xml:space="preserve">AL-70215</t>
  </si>
  <si>
    <t xml:space="preserve">AL-70081</t>
  </si>
  <si>
    <t xml:space="preserve">AL-70236</t>
  </si>
  <si>
    <t xml:space="preserve">AL-70334</t>
  </si>
  <si>
    <t xml:space="preserve">2026-07-20</t>
  </si>
  <si>
    <t xml:space="preserve">AL-70112</t>
  </si>
  <si>
    <t xml:space="preserve">AL-70009</t>
  </si>
  <si>
    <t xml:space="preserve">AL-70068</t>
  </si>
  <si>
    <t xml:space="preserve">AL-70354</t>
  </si>
  <si>
    <t xml:space="preserve">AL-70169</t>
  </si>
  <si>
    <t xml:space="preserve">AL-70235</t>
  </si>
  <si>
    <t xml:space="preserve">AL-70152</t>
  </si>
  <si>
    <t xml:space="preserve">AL-70254</t>
  </si>
  <si>
    <t xml:space="preserve">2026-06-01</t>
  </si>
  <si>
    <t xml:space="preserve">AL-70027</t>
  </si>
  <si>
    <t xml:space="preserve">AL-70094</t>
  </si>
  <si>
    <t xml:space="preserve">2026-08-10</t>
  </si>
  <si>
    <t xml:space="preserve">AL-70123</t>
  </si>
  <si>
    <t xml:space="preserve">AL-70239</t>
  </si>
  <si>
    <t xml:space="preserve">AL-70320</t>
  </si>
  <si>
    <t xml:space="preserve">AL-70316</t>
  </si>
  <si>
    <t xml:space="preserve">AL-70171</t>
  </si>
  <si>
    <t xml:space="preserve">AL-70309</t>
  </si>
  <si>
    <t xml:space="preserve">AL-70219</t>
  </si>
  <si>
    <t xml:space="preserve">AL-70252</t>
  </si>
  <si>
    <t xml:space="preserve">AL-70207</t>
  </si>
  <si>
    <t xml:space="preserve">AL-70275</t>
  </si>
  <si>
    <t xml:space="preserve">AL-70011</t>
  </si>
  <si>
    <t xml:space="preserve">AL-70287</t>
  </si>
  <si>
    <t xml:space="preserve">AL-70186</t>
  </si>
  <si>
    <t xml:space="preserve">AL-70333</t>
  </si>
  <si>
    <t xml:space="preserve">AL-70161</t>
  </si>
  <si>
    <t xml:space="preserve">AL-70182</t>
  </si>
  <si>
    <t xml:space="preserve">AL-70107</t>
  </si>
  <si>
    <t xml:space="preserve">AL-70047</t>
  </si>
  <si>
    <t xml:space="preserve">2026-08-17</t>
  </si>
  <si>
    <t xml:space="preserve">AL-70052</t>
  </si>
  <si>
    <t xml:space="preserve">AL-70294</t>
  </si>
  <si>
    <t xml:space="preserve">AL-70071</t>
  </si>
  <si>
    <t xml:space="preserve">AL-70082</t>
  </si>
  <si>
    <t xml:space="preserve">AL-70286</t>
  </si>
  <si>
    <t xml:space="preserve">AL-70349</t>
  </si>
  <si>
    <t xml:space="preserve">AL-70051</t>
  </si>
  <si>
    <t xml:space="preserve">AL-70045</t>
  </si>
  <si>
    <t xml:space="preserve">AL-70086</t>
  </si>
  <si>
    <t xml:space="preserve">AL-70352</t>
  </si>
  <si>
    <t xml:space="preserve">AL-70231</t>
  </si>
  <si>
    <t xml:space="preserve">AL-70213</t>
  </si>
  <si>
    <t xml:space="preserve">AL-70090</t>
  </si>
  <si>
    <t xml:space="preserve">AL-70023</t>
  </si>
  <si>
    <t xml:space="preserve">AL-70091</t>
  </si>
  <si>
    <t xml:space="preserve">AL-70336</t>
  </si>
  <si>
    <t xml:space="preserve">AL-70014</t>
  </si>
  <si>
    <t xml:space="preserve">AL-70339</t>
  </si>
  <si>
    <t xml:space="preserve">AL-70084</t>
  </si>
  <si>
    <t xml:space="preserve">AL-70227</t>
  </si>
  <si>
    <t xml:space="preserve">AL-70108</t>
  </si>
  <si>
    <t xml:space="preserve">AL-70092</t>
  </si>
  <si>
    <t xml:space="preserve">AL-70106</t>
  </si>
  <si>
    <t xml:space="preserve">AL-70046</t>
  </si>
  <si>
    <t xml:space="preserve">AL-70064</t>
  </si>
  <si>
    <t xml:space="preserve">AL-70025</t>
  </si>
  <si>
    <t xml:space="preserve">AL-70310</t>
  </si>
  <si>
    <t xml:space="preserve">AL-70290</t>
  </si>
  <si>
    <t xml:space="preserve">AL-70200</t>
  </si>
  <si>
    <t xml:space="preserve">AL-70167</t>
  </si>
  <si>
    <t xml:space="preserve">AL-70317</t>
  </si>
  <si>
    <t xml:space="preserve">AL-70289</t>
  </si>
  <si>
    <t xml:space="preserve">AL-70020</t>
  </si>
  <si>
    <t xml:space="preserve">AL-70216</t>
  </si>
  <si>
    <t xml:space="preserve">AL-70016</t>
  </si>
  <si>
    <t xml:space="preserve">AL-70279</t>
  </si>
  <si>
    <t xml:space="preserve">AL-70176</t>
  </si>
  <si>
    <t xml:space="preserve">AL-70280</t>
  </si>
  <si>
    <t xml:space="preserve">AL-70097</t>
  </si>
  <si>
    <t xml:space="preserve">AL-70179</t>
  </si>
  <si>
    <t xml:space="preserve">AL-70173</t>
  </si>
  <si>
    <t xml:space="preserve">AL-70180</t>
  </si>
  <si>
    <t xml:space="preserve">AL-70292</t>
  </si>
  <si>
    <t xml:space="preserve">AL-70080</t>
  </si>
  <si>
    <t xml:space="preserve">AL-70295</t>
  </si>
  <si>
    <t xml:space="preserve">AL-70263</t>
  </si>
  <si>
    <t xml:space="preserve">AL-70010</t>
  </si>
  <si>
    <t xml:space="preserve">AL-70256</t>
  </si>
  <si>
    <t xml:space="preserve">AL-70113</t>
  </si>
  <si>
    <t xml:space="preserve">AL-70085</t>
  </si>
  <si>
    <t xml:space="preserve">AL-70299</t>
  </si>
  <si>
    <t xml:space="preserve">AL-70044</t>
  </si>
  <si>
    <t xml:space="preserve">AL-70139</t>
  </si>
  <si>
    <t xml:space="preserve">AL-70304</t>
  </si>
  <si>
    <t xml:space="preserve">AL-70026</t>
  </si>
  <si>
    <t xml:space="preserve">AL-70281</t>
  </si>
  <si>
    <t xml:space="preserve">AL-70135</t>
  </si>
  <si>
    <t xml:space="preserve">AL-70298</t>
  </si>
  <si>
    <t xml:space="preserve">AL-70087</t>
  </si>
  <si>
    <t xml:space="preserve">AL-70098</t>
  </si>
  <si>
    <t xml:space="preserve">AL-70109</t>
  </si>
  <si>
    <t xml:space="preserve">AL-70214</t>
  </si>
  <si>
    <t xml:space="preserve">AL-70101</t>
  </si>
  <si>
    <t xml:space="preserve">AL-70070</t>
  </si>
  <si>
    <t xml:space="preserve">AL-70078</t>
  </si>
  <si>
    <t xml:space="preserve">AL-70283</t>
  </si>
  <si>
    <t xml:space="preserve">AL-70155</t>
  </si>
  <si>
    <t xml:space="preserve">AL-70157</t>
  </si>
  <si>
    <t xml:space="preserve">AL-70266</t>
  </si>
  <si>
    <t xml:space="preserve">AL-70156</t>
  </si>
  <si>
    <t xml:space="preserve">AL-70220</t>
  </si>
  <si>
    <t xml:space="preserve">AL-70197</t>
  </si>
  <si>
    <t xml:space="preserve">AL-70148</t>
  </si>
  <si>
    <t xml:space="preserve">AL-70324</t>
  </si>
  <si>
    <t xml:space="preserve">AL-70253</t>
  </si>
  <si>
    <t xml:space="preserve">AL-70262</t>
  </si>
  <si>
    <t xml:space="preserve">AL-70229</t>
  </si>
  <si>
    <t xml:space="preserve">AL-70034</t>
  </si>
  <si>
    <t xml:space="preserve">AL-70151</t>
  </si>
  <si>
    <t xml:space="preserve">AL-70158</t>
  </si>
  <si>
    <t xml:space="preserve">AL-70243</t>
  </si>
  <si>
    <t xml:space="preserve">AL-70342</t>
  </si>
  <si>
    <t xml:space="preserve">AL-70160</t>
  </si>
  <si>
    <t xml:space="preserve">AL-70250</t>
  </si>
  <si>
    <t xml:space="preserve">AL-70343</t>
  </si>
  <si>
    <t xml:space="preserve">AL-70272</t>
  </si>
  <si>
    <t xml:space="preserve">AL-70149</t>
  </si>
  <si>
    <t xml:space="preserve">AL-70203</t>
  </si>
  <si>
    <t xml:space="preserve">AL-70209</t>
  </si>
  <si>
    <t xml:space="preserve">AL-70172</t>
  </si>
  <si>
    <t xml:space="preserve">AL-70232</t>
  </si>
  <si>
    <t xml:space="preserve">AL-70053</t>
  </si>
  <si>
    <t xml:space="preserve">AL-70269</t>
  </si>
  <si>
    <t xml:space="preserve">AL-70265</t>
  </si>
  <si>
    <t xml:space="preserve">AL-70308</t>
  </si>
  <si>
    <t xml:space="preserve">AL-70205</t>
  </si>
  <si>
    <t xml:space="preserve">AL-70075</t>
  </si>
  <si>
    <t xml:space="preserve">AL-70206</t>
  </si>
  <si>
    <t xml:space="preserve">AL-70049</t>
  </si>
  <si>
    <t xml:space="preserve">AL-70005</t>
  </si>
  <si>
    <t xml:space="preserve">AL-70331</t>
  </si>
  <si>
    <t xml:space="preserve">AL-70306</t>
  </si>
  <si>
    <t xml:space="preserve">AL-70246</t>
  </si>
  <si>
    <t xml:space="preserve">AL-70241</t>
  </si>
  <si>
    <t xml:space="preserve">AL-70174</t>
  </si>
  <si>
    <t xml:space="preserve">AL-70168</t>
  </si>
  <si>
    <t xml:space="preserve">AL-70077</t>
  </si>
  <si>
    <t xml:space="preserve">AL-70166</t>
  </si>
  <si>
    <t xml:space="preserve">AL-70095</t>
  </si>
  <si>
    <t xml:space="preserve">AL-70244</t>
  </si>
  <si>
    <t xml:space="preserve">AL-70305</t>
  </si>
  <si>
    <t xml:space="preserve">AL-70022</t>
  </si>
  <si>
    <t xml:space="preserve">AL-70255</t>
  </si>
  <si>
    <t xml:space="preserve">AL-70189</t>
  </si>
  <si>
    <t xml:space="preserve">AL-70061</t>
  </si>
  <si>
    <t xml:space="preserve">AL-70150</t>
  </si>
  <si>
    <t xml:space="preserve">AL-70140</t>
  </si>
  <si>
    <t xml:space="preserve">AL-70118</t>
  </si>
  <si>
    <t xml:space="preserve">AL-70105</t>
  </si>
  <si>
    <t xml:space="preserve">AL-70248</t>
  </si>
  <si>
    <t xml:space="preserve">AL-70323</t>
  </si>
  <si>
    <t xml:space="preserve">AL-70032</t>
  </si>
  <si>
    <t xml:space="preserve">AL-70361</t>
  </si>
  <si>
    <t xml:space="preserve">AL-70162</t>
  </si>
  <si>
    <t xml:space="preserve">AL-70031</t>
  </si>
  <si>
    <t xml:space="preserve">AL-70211</t>
  </si>
  <si>
    <t xml:space="preserve">AL-70165</t>
  </si>
  <si>
    <t xml:space="preserve">AL-70230</t>
  </si>
  <si>
    <t xml:space="preserve">AL-70329</t>
  </si>
  <si>
    <t xml:space="preserve">AL-70133</t>
  </si>
  <si>
    <t xml:space="preserve">AL-70193</t>
  </si>
  <si>
    <t xml:space="preserve">AL-70228</t>
  </si>
  <si>
    <t xml:space="preserve">AL-70273</t>
  </si>
  <si>
    <t xml:space="preserve">AL-70291</t>
  </si>
  <si>
    <t xml:space="preserve">AL-70136</t>
  </si>
  <si>
    <t xml:space="preserve">AL-70315</t>
  </si>
  <si>
    <t xml:space="preserve">AL-70184</t>
  </si>
  <si>
    <t xml:space="preserve">AL-70261</t>
  </si>
  <si>
    <t xml:space="preserve">AL-70054</t>
  </si>
  <si>
    <t xml:space="preserve">AL-70338</t>
  </si>
  <si>
    <t xml:space="preserve">AL-70319</t>
  </si>
  <si>
    <t xml:space="preserve">AL-70033</t>
  </si>
  <si>
    <t xml:space="preserve">AL-70204</t>
  </si>
  <si>
    <t xml:space="preserve">AL-70198</t>
  </si>
  <si>
    <t xml:space="preserve">AL-70088</t>
  </si>
  <si>
    <t xml:space="preserve">AL-70117</t>
  </si>
  <si>
    <t xml:space="preserve">AL-70104</t>
  </si>
  <si>
    <t xml:space="preserve">AL-70141</t>
  </si>
  <si>
    <t xml:space="preserve">AL-70217</t>
  </si>
  <si>
    <t xml:space="preserve">AL-70276</t>
  </si>
  <si>
    <t xml:space="preserve">AL-70063</t>
  </si>
  <si>
    <t xml:space="preserve">AL-70069</t>
  </si>
  <si>
    <t xml:space="preserve">AL-70237</t>
  </si>
  <si>
    <t xml:space="preserve">AL-70035</t>
  </si>
  <si>
    <t xml:space="preserve">AL-70096</t>
  </si>
  <si>
    <t xml:space="preserve">AL-70312</t>
  </si>
  <si>
    <t xml:space="preserve">AL-70089</t>
  </si>
  <si>
    <t xml:space="preserve">AL-70330</t>
  </si>
  <si>
    <t xml:space="preserve">AL-70277</t>
  </si>
  <si>
    <t xml:space="preserve">AL-70041</t>
  </si>
  <si>
    <t xml:space="preserve">AL-70268</t>
  </si>
  <si>
    <t xml:space="preserve">AL-70249</t>
  </si>
  <si>
    <t xml:space="preserve">AL-70163</t>
  </si>
  <si>
    <t xml:space="preserve">AL-70270</t>
  </si>
  <si>
    <t xml:space="preserve">AL-70360</t>
  </si>
  <si>
    <t xml:space="preserve">Tentative</t>
  </si>
  <si>
    <t xml:space="preserve">AL-70128</t>
  </si>
  <si>
    <t xml:space="preserve">AL-70344</t>
  </si>
  <si>
    <t xml:space="preserve">AL-70132</t>
  </si>
  <si>
    <t xml:space="preserve">AL-70341</t>
  </si>
  <si>
    <t xml:space="preserve">AL-70131</t>
  </si>
  <si>
    <t xml:space="preserve">AL-70021</t>
  </si>
  <si>
    <t xml:space="preserve">AL-70164</t>
  </si>
  <si>
    <t xml:space="preserve">AL-70245</t>
  </si>
  <si>
    <t xml:space="preserve">AL-70125</t>
  </si>
  <si>
    <t xml:space="preserve">AL-70039</t>
  </si>
  <si>
    <t xml:space="preserve">AL-70050</t>
  </si>
  <si>
    <t xml:space="preserve">AL-70004</t>
  </si>
  <si>
    <t xml:space="preserve">AL-70099</t>
  </si>
  <si>
    <t xml:space="preserve">AL-70124</t>
  </si>
  <si>
    <t xml:space="preserve">AL-70242</t>
  </si>
  <si>
    <t xml:space="preserve">AL-70028</t>
  </si>
  <si>
    <t xml:space="preserve">AL-70347</t>
  </si>
  <si>
    <t xml:space="preserve">AL-70327</t>
  </si>
  <si>
    <t xml:space="preserve">AL-70195</t>
  </si>
  <si>
    <t xml:space="preserve">AL-70297</t>
  </si>
  <si>
    <t xml:space="preserve">AL-70074</t>
  </si>
  <si>
    <t xml:space="preserve">AL-70126</t>
  </si>
  <si>
    <t xml:space="preserve">AL-70307</t>
  </si>
  <si>
    <t xml:space="preserve">AL-70066</t>
  </si>
  <si>
    <t xml:space="preserve">AL-70325</t>
  </si>
  <si>
    <t xml:space="preserve">AL-70210</t>
  </si>
  <si>
    <t xml:space="preserve">AL-70353</t>
  </si>
  <si>
    <t xml:space="preserve">AL-70093</t>
  </si>
  <si>
    <t xml:space="preserve">AL-70221</t>
  </si>
  <si>
    <t xml:space="preserve">AL-70138</t>
  </si>
  <si>
    <t xml:space="preserve">AL-70065</t>
  </si>
  <si>
    <t xml:space="preserve">AL-70351</t>
  </si>
  <si>
    <t xml:space="preserve">AL-70318</t>
  </si>
  <si>
    <t xml:space="preserve">AL-70147</t>
  </si>
  <si>
    <t xml:space="preserve">AL-70007</t>
  </si>
  <si>
    <t xml:space="preserve">AL-70145</t>
  </si>
  <si>
    <t xml:space="preserve">AL-70116</t>
  </si>
  <si>
    <t xml:space="preserve">AL-70267</t>
  </si>
  <si>
    <t xml:space="preserve">AL-70357</t>
  </si>
  <si>
    <t xml:space="preserve">R-3099</t>
  </si>
  <si>
    <t xml:space="preserve">Unknown Contractor</t>
  </si>
  <si>
    <t xml:space="preserve">AL-70332</t>
  </si>
  <si>
    <t xml:space="preserve">AL-70146</t>
  </si>
  <si>
    <t xml:space="preserve">AL-70185</t>
  </si>
  <si>
    <t xml:space="preserve">AL-70153</t>
  </si>
  <si>
    <t xml:space="preserve">AL-70121</t>
  </si>
  <si>
    <t xml:space="preserve">AL-70154</t>
  </si>
  <si>
    <t xml:space="preserve">AL-70313</t>
  </si>
  <si>
    <t xml:space="preserve">AL-70340</t>
  </si>
  <si>
    <t xml:space="preserve">AL-70321</t>
  </si>
  <si>
    <t xml:space="preserve">AL-70076</t>
  </si>
  <si>
    <t xml:space="preserve">AL-70178</t>
  </si>
  <si>
    <t xml:space="preserve">AL-70073</t>
  </si>
  <si>
    <t xml:space="preserve">AL-70296</t>
  </si>
  <si>
    <t xml:space="preserve">AL-70191</t>
  </si>
  <si>
    <t xml:space="preserve">AL-70177</t>
  </si>
  <si>
    <t xml:space="preserve">AL-70199</t>
  </si>
  <si>
    <t xml:space="preserve">AL-70114</t>
  </si>
  <si>
    <t xml:space="preserve">AL-70175</t>
  </si>
  <si>
    <t xml:space="preserve">AL-70303</t>
  </si>
  <si>
    <t xml:space="preserve">AL-70226</t>
  </si>
  <si>
    <t xml:space="preserve">AL-70293</t>
  </si>
  <si>
    <t xml:space="preserve">AL-70130</t>
  </si>
  <si>
    <t xml:space="preserve">AL-70302</t>
  </si>
  <si>
    <t xml:space="preserve">AL-70187</t>
  </si>
  <si>
    <t xml:space="preserve">AL-70110</t>
  </si>
  <si>
    <t xml:space="preserve">AL-70120</t>
  </si>
  <si>
    <t xml:space="preserve">AL-70122</t>
  </si>
  <si>
    <t xml:space="preserve">AL-70048</t>
  </si>
  <si>
    <t xml:space="preserve">AL-70335</t>
  </si>
  <si>
    <t xml:space="preserve">AL-70234</t>
  </si>
  <si>
    <t xml:space="preserve">AL-70018</t>
  </si>
  <si>
    <t xml:space="preserve">AL-70350</t>
  </si>
  <si>
    <t xml:space="preserve">AL-70218</t>
  </si>
  <si>
    <t xml:space="preserve">AL-70264</t>
  </si>
  <si>
    <t xml:space="preserve">AL-70356</t>
  </si>
  <si>
    <t xml:space="preserve">AL-70260</t>
  </si>
  <si>
    <t xml:space="preserve">AL-70259</t>
  </si>
  <si>
    <t xml:space="preserve">AL-70100</t>
  </si>
  <si>
    <t xml:space="preserve">AL-70202</t>
  </si>
  <si>
    <t xml:space="preserve">AL-70037</t>
  </si>
  <si>
    <t xml:space="preserve">AL-70190</t>
  </si>
  <si>
    <t xml:space="preserve">AL-70038</t>
  </si>
  <si>
    <t xml:space="preserve">AL-70346</t>
  </si>
  <si>
    <t xml:space="preserve">AL-70159</t>
  </si>
  <si>
    <t xml:space="preserve">AL-70102</t>
  </si>
  <si>
    <t xml:space="preserve">AL-70015</t>
  </si>
  <si>
    <t xml:space="preserve">AL-70285</t>
  </si>
  <si>
    <t xml:space="preserve">AL-70358</t>
  </si>
  <si>
    <t xml:space="preserve">AL-70042</t>
  </si>
  <si>
    <t xml:space="preserve">AL-70328</t>
  </si>
  <si>
    <t xml:space="preserve">AL-70036</t>
  </si>
  <si>
    <t xml:space="preserve">AL-70111</t>
  </si>
  <si>
    <t xml:space="preserve">AL-70355</t>
  </si>
  <si>
    <t xml:space="preserve">AL-70359</t>
  </si>
  <si>
    <t xml:space="preserve">AL-70003</t>
  </si>
  <si>
    <t xml:space="preserve">AL-70348</t>
  </si>
  <si>
    <t xml:space="preserve">AL-70282</t>
  </si>
  <si>
    <t xml:space="preserve">AL-70079</t>
  </si>
  <si>
    <t xml:space="preserve">AL-70212</t>
  </si>
  <si>
    <t xml:space="preserve">AL-70240</t>
  </si>
  <si>
    <t xml:space="preserve">AL-70006</t>
  </si>
  <si>
    <t xml:space="preserve">AL-70300</t>
  </si>
  <si>
    <t xml:space="preserve">AL-70072</t>
  </si>
  <si>
    <t xml:space="preserve">AL-70194</t>
  </si>
  <si>
    <t xml:space="preserve">AL-70103</t>
  </si>
  <si>
    <t xml:space="preserve">AL-70278</t>
  </si>
  <si>
    <t xml:space="preserve">AL-70067</t>
  </si>
  <si>
    <t xml:space="preserve">AL-70143</t>
  </si>
  <si>
    <t xml:space="preserve">AL-70192</t>
  </si>
  <si>
    <t xml:space="preserve">AL-70002</t>
  </si>
  <si>
    <t xml:space="preserve">AL-70188</t>
  </si>
  <si>
    <t xml:space="preserve">AL-70208</t>
  </si>
  <si>
    <t xml:space="preserve">AL-70247</t>
  </si>
  <si>
    <t xml:space="preserve">AL-70024</t>
  </si>
  <si>
    <t xml:space="preserve">AL-70314</t>
  </si>
  <si>
    <t xml:space="preserve">AL-70142</t>
  </si>
  <si>
    <t xml:space="preserve">AL-70030</t>
  </si>
  <si>
    <t xml:space="preserve">AL-70251</t>
  </si>
  <si>
    <t xml:space="preserve">AL-70311</t>
  </si>
  <si>
    <t xml:space="preserve">AL-70008</t>
  </si>
  <si>
    <t xml:space="preserve">AL-70337</t>
  </si>
  <si>
    <t xml:space="preserve">AL-70170</t>
  </si>
  <si>
    <t xml:space="preserve">AL-70301</t>
  </si>
  <si>
    <t xml:space="preserve">AL-70119</t>
  </si>
  <si>
    <t xml:space="preserve">AL-70326</t>
  </si>
  <si>
    <t xml:space="preserve">AL-70284</t>
  </si>
  <si>
    <t xml:space="preserve">AL-70115</t>
  </si>
  <si>
    <t xml:space="preserve">AL-70274</t>
  </si>
  <si>
    <t xml:space="preserve">AL-70043</t>
  </si>
  <si>
    <t xml:space="preserve">AL-70238</t>
  </si>
  <si>
    <t xml:space="preserve">AL-70013</t>
  </si>
  <si>
    <t xml:space="preserve">AL-70345</t>
  </si>
  <si>
    <t xml:space="preserve">AL-70288</t>
  </si>
  <si>
    <t xml:space="preserve">AL-70062</t>
  </si>
  <si>
    <t xml:space="preserve">AL-70012</t>
  </si>
  <si>
    <t xml:space="preserve">AL-70017</t>
  </si>
  <si>
    <t xml:space="preserve">AL-70144</t>
  </si>
  <si>
    <t xml:space="preserve">AL-70181</t>
  </si>
  <si>
    <t xml:space="preserve">AL-70127</t>
  </si>
  <si>
    <t xml:space="preserve">AL-70322</t>
  </si>
  <si>
    <t xml:space="preserve">AL-70233</t>
  </si>
  <si>
    <t xml:space="preserve">AL-70258</t>
  </si>
  <si>
    <t xml:space="preserve">AL-70040</t>
  </si>
  <si>
    <t xml:space="preserve">AL-70362</t>
  </si>
  <si>
    <t xml:space="preserve">AL-70083</t>
  </si>
  <si>
    <t xml:space="preserve">AL-70019</t>
  </si>
  <si>
    <t xml:space="preserve">Time &amp; Expense — logged hours</t>
  </si>
  <si>
    <t xml:space="preserve">Logged vs booked. Billable flag drives revenue recognition.</t>
  </si>
  <si>
    <t xml:space="preserve">Entry ID</t>
  </si>
  <si>
    <t xml:space="preserve">Logged Hours</t>
  </si>
  <si>
    <t xml:space="preserve">Billable</t>
  </si>
  <si>
    <t xml:space="preserve">Approval Status</t>
  </si>
  <si>
    <t xml:space="preserve">TE-90125</t>
  </si>
  <si>
    <t xml:space="preserve">Approved</t>
  </si>
  <si>
    <t xml:space="preserve">TE-90106</t>
  </si>
  <si>
    <t xml:space="preserve">Non-billable</t>
  </si>
  <si>
    <t xml:space="preserve">TE-90348</t>
  </si>
  <si>
    <t xml:space="preserve">Submitted</t>
  </si>
  <si>
    <t xml:space="preserve">TE-90248</t>
  </si>
  <si>
    <t xml:space="preserve">TE-90269</t>
  </si>
  <si>
    <t xml:space="preserve">TE-90238</t>
  </si>
  <si>
    <t xml:space="preserve">TE-90066</t>
  </si>
  <si>
    <t xml:space="preserve">TE-90325</t>
  </si>
  <si>
    <t xml:space="preserve">TE-90336</t>
  </si>
  <si>
    <t xml:space="preserve">TE-90078</t>
  </si>
  <si>
    <t xml:space="preserve">TE-90247</t>
  </si>
  <si>
    <t xml:space="preserve">TE-90060</t>
  </si>
  <si>
    <t xml:space="preserve">TE-90254</t>
  </si>
  <si>
    <t xml:space="preserve">TE-90183</t>
  </si>
  <si>
    <t xml:space="preserve">TE-90044</t>
  </si>
  <si>
    <t xml:space="preserve">TE-90231</t>
  </si>
  <si>
    <t xml:space="preserve">TE-90131</t>
  </si>
  <si>
    <t xml:space="preserve">TE-90221</t>
  </si>
  <si>
    <t xml:space="preserve">TE-90171</t>
  </si>
  <si>
    <t xml:space="preserve">TE-90205</t>
  </si>
  <si>
    <t xml:space="preserve">TE-90025</t>
  </si>
  <si>
    <t xml:space="preserve">TE-90103</t>
  </si>
  <si>
    <t xml:space="preserve">TE-90223</t>
  </si>
  <si>
    <t xml:space="preserve">TE-90200</t>
  </si>
  <si>
    <t xml:space="preserve">TE-90145</t>
  </si>
  <si>
    <t xml:space="preserve">TE-90165</t>
  </si>
  <si>
    <t xml:space="preserve">TE-90268</t>
  </si>
  <si>
    <t xml:space="preserve">TE-90058</t>
  </si>
  <si>
    <t xml:space="preserve">TE-90070</t>
  </si>
  <si>
    <t xml:space="preserve">TE-90023</t>
  </si>
  <si>
    <t xml:space="preserve">TE-90232</t>
  </si>
  <si>
    <t xml:space="preserve">TE-90095</t>
  </si>
  <si>
    <t xml:space="preserve">TE-90267</t>
  </si>
  <si>
    <t xml:space="preserve">TE-90008</t>
  </si>
  <si>
    <t xml:space="preserve">TE-90063</t>
  </si>
  <si>
    <t xml:space="preserve">TE-90069</t>
  </si>
  <si>
    <t xml:space="preserve">TE-90277</t>
  </si>
  <si>
    <t xml:space="preserve">TE-90024</t>
  </si>
  <si>
    <t xml:space="preserve">TE-90152</t>
  </si>
  <si>
    <t xml:space="preserve">TE-90288</t>
  </si>
  <si>
    <t xml:space="preserve">TE-90190</t>
  </si>
  <si>
    <t xml:space="preserve">TE-90323</t>
  </si>
  <si>
    <t xml:space="preserve">TE-90099</t>
  </si>
  <si>
    <t xml:space="preserve">TE-90161</t>
  </si>
  <si>
    <t xml:space="preserve">TE-90203</t>
  </si>
  <si>
    <t xml:space="preserve">TE-90230</t>
  </si>
  <si>
    <t xml:space="preserve">TE-90299</t>
  </si>
  <si>
    <t xml:space="preserve">TE-90293</t>
  </si>
  <si>
    <t xml:space="preserve">TE-90003</t>
  </si>
  <si>
    <t xml:space="preserve">TE-90158</t>
  </si>
  <si>
    <t xml:space="preserve">TE-90349</t>
  </si>
  <si>
    <t xml:space="preserve">TE-90340</t>
  </si>
  <si>
    <t xml:space="preserve">TE-90210</t>
  </si>
  <si>
    <t xml:space="preserve">TE-90137</t>
  </si>
  <si>
    <t xml:space="preserve">TE-90076</t>
  </si>
  <si>
    <t xml:space="preserve">TE-90201</t>
  </si>
  <si>
    <t xml:space="preserve">TE-90119</t>
  </si>
  <si>
    <t xml:space="preserve">TE-90261</t>
  </si>
  <si>
    <t xml:space="preserve">TE-90138</t>
  </si>
  <si>
    <t xml:space="preserve">TE-90134</t>
  </si>
  <si>
    <t xml:space="preserve">TE-90105</t>
  </si>
  <si>
    <t xml:space="preserve">TE-90244</t>
  </si>
  <si>
    <t xml:space="preserve">TE-90240</t>
  </si>
  <si>
    <t xml:space="preserve">TE-90275</t>
  </si>
  <si>
    <t xml:space="preserve">TE-90280</t>
  </si>
  <si>
    <t xml:space="preserve">TE-90055</t>
  </si>
  <si>
    <t xml:space="preserve">TE-90045</t>
  </si>
  <si>
    <t xml:space="preserve">TE-90226</t>
  </si>
  <si>
    <t xml:space="preserve">TE-90162</t>
  </si>
  <si>
    <t xml:space="preserve">TE-90222</t>
  </si>
  <si>
    <t xml:space="preserve">TE-90065</t>
  </si>
  <si>
    <t xml:space="preserve">TE-90114</t>
  </si>
  <si>
    <t xml:space="preserve">TE-90321</t>
  </si>
  <si>
    <t xml:space="preserve">TE-90217</t>
  </si>
  <si>
    <t xml:space="preserve">TE-90282</t>
  </si>
  <si>
    <t xml:space="preserve">TE-90175</t>
  </si>
  <si>
    <t xml:space="preserve">TE-90271</t>
  </si>
  <si>
    <t xml:space="preserve">TE-90021</t>
  </si>
  <si>
    <t xml:space="preserve">TE-90051</t>
  </si>
  <si>
    <t xml:space="preserve">TE-90259</t>
  </si>
  <si>
    <t xml:space="preserve">TE-90143</t>
  </si>
  <si>
    <t xml:space="preserve">TE-90091</t>
  </si>
  <si>
    <t xml:space="preserve">TE-90301</t>
  </si>
  <si>
    <t xml:space="preserve">TE-90168</t>
  </si>
  <si>
    <t xml:space="preserve">TE-90173</t>
  </si>
  <si>
    <t xml:space="preserve">TE-90204</t>
  </si>
  <si>
    <t xml:space="preserve">TE-90050</t>
  </si>
  <si>
    <t xml:space="preserve">TE-90088</t>
  </si>
  <si>
    <t xml:space="preserve">TE-90250</t>
  </si>
  <si>
    <t xml:space="preserve">TE-90185</t>
  </si>
  <si>
    <t xml:space="preserve">TE-90335</t>
  </si>
  <si>
    <t xml:space="preserve">TE-90343</t>
  </si>
  <si>
    <t xml:space="preserve">TE-90133</t>
  </si>
  <si>
    <t xml:space="preserve">TE-90274</t>
  </si>
  <si>
    <t xml:space="preserve">TE-90234</t>
  </si>
  <si>
    <t xml:space="preserve">TE-90213</t>
  </si>
  <si>
    <t xml:space="preserve">TE-90284</t>
  </si>
  <si>
    <t xml:space="preserve">TE-90028</t>
  </si>
  <si>
    <t xml:space="preserve">TE-90179</t>
  </si>
  <si>
    <t xml:space="preserve">TE-90236</t>
  </si>
  <si>
    <t xml:space="preserve">TE-90178</t>
  </si>
  <si>
    <t xml:space="preserve">TE-90346</t>
  </si>
  <si>
    <t xml:space="preserve">TE-90331</t>
  </si>
  <si>
    <t xml:space="preserve">TE-90257</t>
  </si>
  <si>
    <t xml:space="preserve">TE-90043</t>
  </si>
  <si>
    <t xml:space="preserve">TE-90279</t>
  </si>
  <si>
    <t xml:space="preserve">TE-90251</t>
  </si>
  <si>
    <t xml:space="preserve">TE-90048</t>
  </si>
  <si>
    <t xml:space="preserve">TE-90113</t>
  </si>
  <si>
    <t xml:space="preserve">TE-90122</t>
  </si>
  <si>
    <t xml:space="preserve">TE-90207</t>
  </si>
  <si>
    <t xml:space="preserve">TE-90038</t>
  </si>
  <si>
    <t xml:space="preserve">TE-90046</t>
  </si>
  <si>
    <t xml:space="preserve">TE-90246</t>
  </si>
  <si>
    <t xml:space="preserve">TE-90184</t>
  </si>
  <si>
    <t xml:space="preserve">TE-90053</t>
  </si>
  <si>
    <t xml:space="preserve">TE-90186</t>
  </si>
  <si>
    <t xml:space="preserve">TE-90314</t>
  </si>
  <si>
    <t xml:space="preserve">TE-90057</t>
  </si>
  <si>
    <t xml:space="preserve">TE-90276</t>
  </si>
  <si>
    <t xml:space="preserve">TE-90329</t>
  </si>
  <si>
    <t xml:space="preserve">TE-90155</t>
  </si>
  <si>
    <t xml:space="preserve">TE-90170</t>
  </si>
  <si>
    <t xml:space="preserve">TE-90004</t>
  </si>
  <si>
    <t xml:space="preserve">TE-90093</t>
  </si>
  <si>
    <t xml:space="preserve">TE-90215</t>
  </si>
  <si>
    <t xml:space="preserve">TE-90263</t>
  </si>
  <si>
    <t xml:space="preserve">TE-90327</t>
  </si>
  <si>
    <t xml:space="preserve">TE-90180</t>
  </si>
  <si>
    <t xml:space="preserve">TE-90258</t>
  </si>
  <si>
    <t xml:space="preserve">TE-90087</t>
  </si>
  <si>
    <t xml:space="preserve">TE-90345</t>
  </si>
  <si>
    <t xml:space="preserve">TE-90039</t>
  </si>
  <si>
    <t xml:space="preserve">TE-90151</t>
  </si>
  <si>
    <t xml:space="preserve">TE-90266</t>
  </si>
  <si>
    <t xml:space="preserve">TE-90255</t>
  </si>
  <si>
    <t xml:space="preserve">TE-90012</t>
  </si>
  <si>
    <t xml:space="preserve">TE-90243</t>
  </si>
  <si>
    <t xml:space="preserve">TE-90092</t>
  </si>
  <si>
    <t xml:space="preserve">TE-90322</t>
  </si>
  <si>
    <t xml:space="preserve">TE-90079</t>
  </si>
  <si>
    <t xml:space="preserve">TE-90172</t>
  </si>
  <si>
    <t xml:space="preserve">TE-90049</t>
  </si>
  <si>
    <t xml:space="preserve">TE-90163</t>
  </si>
  <si>
    <t xml:space="preserve">TE-90294</t>
  </si>
  <si>
    <t xml:space="preserve">TE-90139</t>
  </si>
  <si>
    <t xml:space="preserve">TE-90283</t>
  </si>
  <si>
    <t xml:space="preserve">TE-90237</t>
  </si>
  <si>
    <t xml:space="preserve">TE-90209</t>
  </si>
  <si>
    <t xml:space="preserve">TE-90181</t>
  </si>
  <si>
    <t xml:space="preserve">TE-90022</t>
  </si>
  <si>
    <t xml:space="preserve">TE-90075</t>
  </si>
  <si>
    <t xml:space="preserve">TE-90228</t>
  </si>
  <si>
    <t xml:space="preserve">TE-90037</t>
  </si>
  <si>
    <t xml:space="preserve">TE-90262</t>
  </si>
  <si>
    <t xml:space="preserve">TE-90148</t>
  </si>
  <si>
    <t xml:space="preserve">TE-90300</t>
  </si>
  <si>
    <t xml:space="preserve">TE-90290</t>
  </si>
  <si>
    <t xml:space="preserve">TE-90309</t>
  </si>
  <si>
    <t xml:space="preserve">TE-90002</t>
  </si>
  <si>
    <t xml:space="preserve">TE-90014</t>
  </si>
  <si>
    <t xml:space="preserve">TE-90239</t>
  </si>
  <si>
    <t xml:space="preserve">TE-90141</t>
  </si>
  <si>
    <t xml:space="preserve">TE-90081</t>
  </si>
  <si>
    <t xml:space="preserve">TE-90136</t>
  </si>
  <si>
    <t xml:space="preserve">TE-90176</t>
  </si>
  <si>
    <t xml:space="preserve">TE-90056</t>
  </si>
  <si>
    <t xml:space="preserve">TE-90166</t>
  </si>
  <si>
    <t xml:space="preserve">TE-90241</t>
  </si>
  <si>
    <t xml:space="preserve">TE-90011</t>
  </si>
  <si>
    <t xml:space="preserve">TE-90073</t>
  </si>
  <si>
    <t xml:space="preserve">TE-90198</t>
  </si>
  <si>
    <t xml:space="preserve">TE-90019</t>
  </si>
  <si>
    <t xml:space="preserve">TE-90072</t>
  </si>
  <si>
    <t xml:space="preserve">TE-90154</t>
  </si>
  <si>
    <t xml:space="preserve">TE-90147</t>
  </si>
  <si>
    <t xml:space="preserve">TE-90146</t>
  </si>
  <si>
    <t xml:space="preserve">TE-90338</t>
  </si>
  <si>
    <t xml:space="preserve">TE-90189</t>
  </si>
  <si>
    <t xml:space="preserve">TE-90308</t>
  </si>
  <si>
    <t xml:space="preserve">TE-90303</t>
  </si>
  <si>
    <t xml:space="preserve">TE-90086</t>
  </si>
  <si>
    <t xml:space="preserve">TE-90195</t>
  </si>
  <si>
    <t xml:space="preserve">TE-90032</t>
  </si>
  <si>
    <t xml:space="preserve">TE-90031</t>
  </si>
  <si>
    <t xml:space="preserve">TE-90253</t>
  </si>
  <si>
    <t xml:space="preserve">TE-90132</t>
  </si>
  <si>
    <t xml:space="preserve">TE-90188</t>
  </si>
  <si>
    <t xml:space="preserve">TE-90150</t>
  </si>
  <si>
    <t xml:space="preserve">TE-90047</t>
  </si>
  <si>
    <t xml:space="preserve">TE-90085</t>
  </si>
  <si>
    <t xml:space="preserve">TE-90292</t>
  </si>
  <si>
    <t xml:space="preserve">TE-90033</t>
  </si>
  <si>
    <t xml:space="preserve">TE-90333</t>
  </si>
  <si>
    <t xml:space="preserve">TE-90034</t>
  </si>
  <si>
    <t xml:space="preserve">TE-90159</t>
  </si>
  <si>
    <t xml:space="preserve">TE-90116</t>
  </si>
  <si>
    <t xml:space="preserve">TE-90347</t>
  </si>
  <si>
    <t xml:space="preserve">TE-90108</t>
  </si>
  <si>
    <t xml:space="preserve">TE-90090</t>
  </si>
  <si>
    <t xml:space="preserve">TE-90187</t>
  </si>
  <si>
    <t xml:space="preserve">TE-90124</t>
  </si>
  <si>
    <t xml:space="preserve">TE-90153</t>
  </si>
  <si>
    <t xml:space="preserve">TE-90305</t>
  </si>
  <si>
    <t xml:space="preserve">TE-90219</t>
  </si>
  <si>
    <t xml:space="preserve">TE-90337</t>
  </si>
  <si>
    <t xml:space="preserve">TE-90121</t>
  </si>
  <si>
    <t xml:space="preserve">TE-90109</t>
  </si>
  <si>
    <t xml:space="preserve">TE-90067</t>
  </si>
  <si>
    <t xml:space="preserve">TE-90193</t>
  </si>
  <si>
    <t xml:space="preserve">TE-90169</t>
  </si>
  <si>
    <t xml:space="preserve">TE-90071</t>
  </si>
  <si>
    <t xml:space="preserve">TE-90127</t>
  </si>
  <si>
    <t xml:space="preserve">TE-90233</t>
  </si>
  <si>
    <t xml:space="preserve">TE-90074</t>
  </si>
  <si>
    <t xml:space="preserve">TE-90068</t>
  </si>
  <si>
    <t xml:space="preserve">TE-90111</t>
  </si>
  <si>
    <t xml:space="preserve">TE-90225</t>
  </si>
  <si>
    <t xml:space="preserve">TE-90061</t>
  </si>
  <si>
    <t xml:space="preserve">TE-90009</t>
  </si>
  <si>
    <t xml:space="preserve">TE-90174</t>
  </si>
  <si>
    <t xml:space="preserve">TE-90064</t>
  </si>
  <si>
    <t xml:space="preserve">TE-90199</t>
  </si>
  <si>
    <t xml:space="preserve">TE-90027</t>
  </si>
  <si>
    <t xml:space="preserve">TE-90005</t>
  </si>
  <si>
    <t xml:space="preserve">TE-90212</t>
  </si>
  <si>
    <t xml:space="preserve">TE-90220</t>
  </si>
  <si>
    <t xml:space="preserve">TE-90214</t>
  </si>
  <si>
    <t xml:space="preserve">TE-90310</t>
  </si>
  <si>
    <t xml:space="preserve">TE-90273</t>
  </si>
  <si>
    <t xml:space="preserve">TE-90326</t>
  </si>
  <si>
    <t xml:space="preserve">TE-90123</t>
  </si>
  <si>
    <t xml:space="preserve">TE-90016</t>
  </si>
  <si>
    <t xml:space="preserve">TE-90102</t>
  </si>
  <si>
    <t xml:space="preserve">TE-90126</t>
  </si>
  <si>
    <t xml:space="preserve">TE-90208</t>
  </si>
  <si>
    <t xml:space="preserve">TE-90013</t>
  </si>
  <si>
    <t xml:space="preserve">TE-90341</t>
  </si>
  <si>
    <t xml:space="preserve">TE-90312</t>
  </si>
  <si>
    <t xml:space="preserve">TE-90080</t>
  </si>
  <si>
    <t xml:space="preserve">TE-90320</t>
  </si>
  <si>
    <t xml:space="preserve">TE-90192</t>
  </si>
  <si>
    <t xml:space="preserve">TE-90110</t>
  </si>
  <si>
    <t xml:space="preserve">TE-90227</t>
  </si>
  <si>
    <t xml:space="preserve">TE-90252</t>
  </si>
  <si>
    <t xml:space="preserve">TE-90270</t>
  </si>
  <si>
    <t xml:space="preserve">TE-90015</t>
  </si>
  <si>
    <t xml:space="preserve">TE-90036</t>
  </si>
  <si>
    <t xml:space="preserve">TE-90007</t>
  </si>
  <si>
    <t xml:space="preserve">TE-90298</t>
  </si>
  <si>
    <t xml:space="preserve">TE-90094</t>
  </si>
  <si>
    <t xml:space="preserve">TE-90084</t>
  </si>
  <si>
    <t xml:space="preserve">TE-90129</t>
  </si>
  <si>
    <t xml:space="preserve">TE-90202</t>
  </si>
  <si>
    <t xml:space="preserve">TE-90317</t>
  </si>
  <si>
    <t xml:space="preserve">TE-90135</t>
  </si>
  <si>
    <t xml:space="preserve">TE-90249</t>
  </si>
  <si>
    <t xml:space="preserve">TE-90289</t>
  </si>
  <si>
    <t xml:space="preserve">TE-90077</t>
  </si>
  <si>
    <t xml:space="preserve">TE-90318</t>
  </si>
  <si>
    <t xml:space="preserve">TE-90197</t>
  </si>
  <si>
    <t xml:space="preserve">TE-90206</t>
  </si>
  <si>
    <t xml:space="preserve">TE-90260</t>
  </si>
  <si>
    <t xml:space="preserve">TE-90295</t>
  </si>
  <si>
    <t xml:space="preserve">TE-90191</t>
  </si>
  <si>
    <t xml:space="preserve">TE-90042</t>
  </si>
  <si>
    <t xml:space="preserve">TE-90319</t>
  </si>
  <si>
    <t xml:space="preserve">TE-90297</t>
  </si>
  <si>
    <t xml:space="preserve">TE-90130</t>
  </si>
  <si>
    <t xml:space="preserve">TE-90272</t>
  </si>
  <si>
    <t xml:space="preserve">TE-90120</t>
  </si>
  <si>
    <t xml:space="preserve">TE-90196</t>
  </si>
  <si>
    <t xml:space="preserve">TE-90315</t>
  </si>
  <si>
    <t xml:space="preserve">TE-90291</t>
  </si>
  <si>
    <t xml:space="preserve">TE-90059</t>
  </si>
  <si>
    <t xml:space="preserve">TE-90182</t>
  </si>
  <si>
    <t xml:space="preserve">TE-90017</t>
  </si>
  <si>
    <t xml:space="preserve">TE-90096</t>
  </si>
  <si>
    <t xml:space="preserve">TE-90245</t>
  </si>
  <si>
    <t xml:space="preserve">TE-90098</t>
  </si>
  <si>
    <t xml:space="preserve">TE-90229</t>
  </si>
  <si>
    <t xml:space="preserve">TE-90115</t>
  </si>
  <si>
    <t xml:space="preserve">TE-90118</t>
  </si>
  <si>
    <t xml:space="preserve">TE-90339</t>
  </si>
  <si>
    <t xml:space="preserve">TE-90052</t>
  </si>
  <si>
    <t xml:space="preserve">TE-90040</t>
  </si>
  <si>
    <t xml:space="preserve">TE-90224</t>
  </si>
  <si>
    <t xml:space="preserve">TE-90128</t>
  </si>
  <si>
    <t xml:space="preserve">TE-90316</t>
  </si>
  <si>
    <t xml:space="preserve">TE-90104</t>
  </si>
  <si>
    <t xml:space="preserve">TE-90311</t>
  </si>
  <si>
    <t xml:space="preserve">TE-90304</t>
  </si>
  <si>
    <t xml:space="preserve">TE-90006</t>
  </si>
  <si>
    <t xml:space="preserve">TE-90054</t>
  </si>
  <si>
    <t xml:space="preserve">TE-90041</t>
  </si>
  <si>
    <t xml:space="preserve">TE-90062</t>
  </si>
  <si>
    <t xml:space="preserve">TE-90018</t>
  </si>
  <si>
    <t xml:space="preserve">TE-90328</t>
  </si>
  <si>
    <t xml:space="preserve">TE-90344</t>
  </si>
  <si>
    <t xml:space="preserve">TE-90334</t>
  </si>
  <si>
    <t xml:space="preserve">TE-90100</t>
  </si>
  <si>
    <t xml:space="preserve">TE-90167</t>
  </si>
  <si>
    <t xml:space="preserve">TE-90242</t>
  </si>
  <si>
    <t xml:space="preserve">TE-90112</t>
  </si>
  <si>
    <t xml:space="preserve">TE-90156</t>
  </si>
  <si>
    <t xml:space="preserve">TE-90287</t>
  </si>
  <si>
    <t xml:space="preserve">TE-90157</t>
  </si>
  <si>
    <t xml:space="preserve">TE-90030</t>
  </si>
  <si>
    <t xml:space="preserve">TE-90177</t>
  </si>
  <si>
    <t xml:space="preserve">TE-90140</t>
  </si>
  <si>
    <t xml:space="preserve">TE-90235</t>
  </si>
  <si>
    <t xml:space="preserve">TE-90306</t>
  </si>
  <si>
    <t xml:space="preserve">TE-90082</t>
  </si>
  <si>
    <t xml:space="preserve">TE-90302</t>
  </si>
  <si>
    <t xml:space="preserve">TE-90144</t>
  </si>
  <si>
    <t xml:space="preserve">TE-90278</t>
  </si>
  <si>
    <t xml:space="preserve">TE-90194</t>
  </si>
  <si>
    <t xml:space="preserve">TE-90026</t>
  </si>
  <si>
    <t xml:space="preserve">TE-90029</t>
  </si>
  <si>
    <t xml:space="preserve">TE-90285</t>
  </si>
  <si>
    <t xml:space="preserve">TE-90256</t>
  </si>
  <si>
    <t xml:space="preserve">TE-90281</t>
  </si>
  <si>
    <t xml:space="preserve">TE-90218</t>
  </si>
  <si>
    <t xml:space="preserve">TE-90035</t>
  </si>
  <si>
    <t xml:space="preserve">TE-90211</t>
  </si>
  <si>
    <t xml:space="preserve">TE-90160</t>
  </si>
  <si>
    <t xml:space="preserve">TE-90332</t>
  </si>
  <si>
    <t xml:space="preserve">TE-90216</t>
  </si>
  <si>
    <t xml:space="preserve">TE-90286</t>
  </si>
  <si>
    <t xml:space="preserve">TE-90101</t>
  </si>
  <si>
    <t xml:space="preserve">TE-90010</t>
  </si>
  <si>
    <t xml:space="preserve">TE-90089</t>
  </si>
  <si>
    <t xml:space="preserve">TE-90265</t>
  </si>
  <si>
    <t xml:space="preserve">TE-90164</t>
  </si>
  <si>
    <t xml:space="preserve">TE-90020</t>
  </si>
  <si>
    <t xml:space="preserve">TE-90142</t>
  </si>
  <si>
    <t xml:space="preserve">TE-90307</t>
  </si>
  <si>
    <t xml:space="preserve">TE-90117</t>
  </si>
  <si>
    <t xml:space="preserve">TE-90296</t>
  </si>
  <si>
    <t xml:space="preserve">TE-90313</t>
  </si>
  <si>
    <t xml:space="preserve">TE-90149</t>
  </si>
  <si>
    <t xml:space="preserve">TE-90324</t>
  </si>
  <si>
    <t xml:space="preserve">TE-90330</t>
  </si>
  <si>
    <t xml:space="preserve">TE-90342</t>
  </si>
  <si>
    <t xml:space="preserve">TE-90083</t>
  </si>
  <si>
    <t xml:space="preserve">TE-90107</t>
  </si>
  <si>
    <t xml:space="preserve">TE-90264</t>
  </si>
  <si>
    <t xml:space="preserve">TE-90097</t>
  </si>
  <si>
    <t xml:space="preserve">Resource Capacity &amp; Utilisation</t>
  </si>
  <si>
    <t xml:space="preserve">Weekly utilisation per resource. RED = over 100%. The portfolio average hides the peaks.</t>
  </si>
  <si>
    <t xml:space="preserve">Resource</t>
  </si>
  <si>
    <t xml:space="preserve">Cap</t>
  </si>
  <si>
    <t xml:space="preserve">06-01</t>
  </si>
  <si>
    <t xml:space="preserve">06-08</t>
  </si>
  <si>
    <t xml:space="preserve">06-15</t>
  </si>
  <si>
    <t xml:space="preserve">06-22</t>
  </si>
  <si>
    <t xml:space="preserve">06-29</t>
  </si>
  <si>
    <t xml:space="preserve">07-06</t>
  </si>
  <si>
    <t xml:space="preserve">07-13</t>
  </si>
  <si>
    <t xml:space="preserve">07-20</t>
  </si>
  <si>
    <t xml:space="preserve">07-27</t>
  </si>
  <si>
    <t xml:space="preserve">08-03</t>
  </si>
  <si>
    <t xml:space="preserve">08-10</t>
  </si>
  <si>
    <t xml:space="preserve">08-17</t>
  </si>
  <si>
    <t xml:space="preserve">Peak</t>
  </si>
  <si>
    <t xml:space="preserve">Avg</t>
  </si>
  <si>
    <t xml:space="preserve">Portfolio avg utilisation</t>
  </si>
  <si>
    <t xml:space="preserve">Resources with a peak week over 100%</t>
  </si>
  <si>
    <t xml:space="preserve">Highest peak on the bench</t>
  </si>
  <si>
    <t xml:space="preserve">Portfolio &amp; Resourcing Defect Log</t>
  </si>
  <si>
    <t xml:space="preserve">What the PMO Analyst catches. Every defect carries a quantified consequence.</t>
  </si>
  <si>
    <t xml:space="preserve">ID</t>
  </si>
  <si>
    <t xml:space="preserve">Type</t>
  </si>
  <si>
    <t xml:space="preserve">What was found</t>
  </si>
  <si>
    <t xml:space="preserve">Severity</t>
  </si>
  <si>
    <t xml:space="preserve">Quantified consequence &amp; action</t>
  </si>
  <si>
    <t xml:space="preserve">P-01</t>
  </si>
  <si>
    <t xml:space="preserve">Portfolio — status</t>
  </si>
  <si>
    <t xml:space="preserve">Insurance Claims Automation reported COST GREEN by the PM, but forecast at completion is 20.5% over budget.</t>
  </si>
  <si>
    <t xml:space="preserve">High</t>
  </si>
  <si>
    <t xml:space="preserve">$96,502 over. YTD spend was only +2.7% — the overrun sits entirely in $86,500 of committed contractor extensions the status report ignored. Escalated; recovery plan and contingency request raised.</t>
  </si>
  <si>
    <t xml:space="preserve">Resolved</t>
  </si>
  <si>
    <t xml:space="preserve">P-02</t>
  </si>
  <si>
    <t xml:space="preserve">Retail Bank Mobile App reported GREEN; computed AMBER (6.9% over) with 2 milestones already slipped.</t>
  </si>
  <si>
    <t xml:space="preserve">Medium</t>
  </si>
  <si>
    <t xml:space="preserve">$24,227 over. Reported position corrected at portfolio board; PM coached on including committed costs.</t>
  </si>
  <si>
    <t xml:space="preserve">P-03</t>
  </si>
  <si>
    <t xml:space="preserve">Portfolio — schedule</t>
  </si>
  <si>
    <t xml:space="preserve">Payments Fraud Model: both remaining milestones slipped twice; production deploy now forecast Jan 2027 — outside the contract year.</t>
  </si>
  <si>
    <t xml:space="preserve">42-day slip. Revenue recognition moves to the next financial year. Flagged to Finance and Commercial.</t>
  </si>
  <si>
    <t xml:space="preserve">Open</t>
  </si>
  <si>
    <t xml:space="preserve">P-04</t>
  </si>
  <si>
    <t xml:space="preserve">Portfolio — benefits</t>
  </si>
  <si>
    <t xml:space="preserve">Benefit BEN-07 (branch call volume −10%) quietly dropped in month 4. Never formally closed or re-baselined.</t>
  </si>
  <si>
    <t xml:space="preserve">A promised benefit disappeared with no decision record. Business case no longer matches what will be delivered. Formal closure raised to the sponsor.</t>
  </si>
  <si>
    <t xml:space="preserve">P-05</t>
  </si>
  <si>
    <t xml:space="preserve">Portfolio — cost</t>
  </si>
  <si>
    <t xml:space="preserve">Wealth Platform running 6% UNDER budget — read as a saving, actually a symptom of slipped delivery.</t>
  </si>
  <si>
    <t xml:space="preserve">Underspend tracks a 4-week milestone slip, not efficiency. Cutover now at risk. Reframed at the board as a schedule issue, not a saving.</t>
  </si>
  <si>
    <t xml:space="preserve">R-01</t>
  </si>
  <si>
    <t xml:space="preserve">Resourcing</t>
  </si>
  <si>
    <t xml:space="preserve">Priya Nair (Senior Dev) booked 56h vs 40h capacity = 140% for 3 consecutive weeks across 3 projects.</t>
  </si>
  <si>
    <t xml:space="preserve">Burnout risk + 2 fixed-price deadlines at risk. Rebalanced 20h to Daniel Kim; capped at 100%.</t>
  </si>
  <si>
    <t xml:space="preserve">R-02</t>
  </si>
  <si>
    <t xml:space="preserve">Ravi Menon (32h part-time contract) booked to 40h = 125% for 2 weeks.</t>
  </si>
  <si>
    <t xml:space="preserve">Contract breach + quality risk. Reduced to 32h; surplus BA demand redistributed.</t>
  </si>
  <si>
    <t xml:space="preserve">R-03</t>
  </si>
  <si>
    <t xml:space="preserve">Skill mismatch — UX Designer allocated to a data-migration task.</t>
  </si>
  <si>
    <t xml:space="preserve">Rework risk. Reassigned to the Data Migration Specialist.</t>
  </si>
  <si>
    <t xml:space="preserve">R-04</t>
  </si>
  <si>
    <t xml:space="preserve">Ghost resource: allocation against Resource ID R-3099, not in the resource master.</t>
  </si>
  <si>
    <t xml:space="preserve">30h of real work shown as covered by a person who doesn't exist. Removed and reassigned.</t>
  </si>
  <si>
    <t xml:space="preserve">R-05</t>
  </si>
  <si>
    <t xml:space="preserve">3 allocations left 'Tentative' — never confirmed.</t>
  </si>
  <si>
    <t xml:space="preserve">~60h of capacity blocked but uncommitted. Power Automate flow now chases tentatives older than 5 days.</t>
  </si>
  <si>
    <t xml:space="preserve">R-06</t>
  </si>
  <si>
    <t xml:space="preserve">A confirmed allocation posted with blank Booked Hours.</t>
  </si>
  <si>
    <t xml:space="preserve">Low</t>
  </si>
  <si>
    <t xml:space="preserve">Understated a resource's true load and masked their real utilisation. Corrected.</t>
  </si>
  <si>
    <t xml:space="preserve">R-07</t>
  </si>
  <si>
    <t xml:space="preserve">Duplicate allocation (same resource/project/week) inflated a week to 158%.</t>
  </si>
  <si>
    <t xml:space="preserve">Double-counted capacity and triggered a false over-allocation alert. De-duplicated.</t>
  </si>
  <si>
    <t xml:space="preserve">Portfolio RAID Log</t>
  </si>
  <si>
    <t xml:space="preserve">Risks · Assumptions · Issues · Dependencies across the book of work.</t>
  </si>
  <si>
    <t xml:space="preserve">Owner</t>
  </si>
  <si>
    <t xml:space="preserve">Impact</t>
  </si>
  <si>
    <t xml:space="preserve">Mitigation / Response</t>
  </si>
  <si>
    <t xml:space="preserve">Raised</t>
  </si>
  <si>
    <t xml:space="preserve">I-001</t>
  </si>
  <si>
    <t xml:space="preserve">Issue</t>
  </si>
  <si>
    <t xml:space="preserve">Portfolio margin forecast to erode from 26.0% to 15.6% — $228K of unplanned cost.</t>
  </si>
  <si>
    <t xml:space="preserve">Delivery Director</t>
  </si>
  <si>
    <t xml:space="preserve">Driven by committed costs on 4 projects. Recovery plans requested from each PM; contingency drawdown paper to the board.</t>
  </si>
  <si>
    <t xml:space="preserve">2026-08-31</t>
  </si>
  <si>
    <t xml:space="preserve">I-002</t>
  </si>
  <si>
    <t xml:space="preserve">3 of 6 projects reported Green by their PM but compute Amber or Red once committed costs are included.</t>
  </si>
  <si>
    <t xml:space="preserve">PCO</t>
  </si>
  <si>
    <t xml:space="preserve">Reporting standard changed: committed costs now mandatory in every project status. Portfolio dashboard computes RAG independently of PM self-report.</t>
  </si>
  <si>
    <t xml:space="preserve">I-003</t>
  </si>
  <si>
    <t xml:space="preserve">Senior developer over-allocated to 140% across 2 fixed-price go-lives.</t>
  </si>
  <si>
    <t xml:space="preserve">Resourcing Manager</t>
  </si>
  <si>
    <t xml:space="preserve">Rebalanced within the bench; capped at 100%. See R-01.</t>
  </si>
  <si>
    <t xml:space="preserve">R-001</t>
  </si>
  <si>
    <t xml:space="preserve">Risk</t>
  </si>
  <si>
    <t xml:space="preserve">Only 2 senior developers on the bench for 6 projects — single point of failure.</t>
  </si>
  <si>
    <t xml:space="preserve">Cross-skilling plan for 2 mid-level developers; contractor pre-approved as surge cover.</t>
  </si>
  <si>
    <t xml:space="preserve">R-002</t>
  </si>
  <si>
    <t xml:space="preserve">Payments Fraud deploy forecast into Jan 2027 — revenue recognition slips a financial year.</t>
  </si>
  <si>
    <t xml:space="preserve">Finance Business Partner</t>
  </si>
  <si>
    <t xml:space="preserve">Flagged to Finance and Commercial; recovery options under review.</t>
  </si>
  <si>
    <t xml:space="preserve">R-003</t>
  </si>
  <si>
    <t xml:space="preserve">Poor allocation data quality hides true capacity.</t>
  </si>
  <si>
    <t xml:space="preserve">Weekly data-quality check; automated chase on unconfirmed bookings. See R-04..R-07.</t>
  </si>
  <si>
    <t xml:space="preserve">Mitigated</t>
  </si>
  <si>
    <t xml:space="preserve">2026-03-01</t>
  </si>
  <si>
    <t xml:space="preserve">A-001</t>
  </si>
  <si>
    <t xml:space="preserve">Assumption</t>
  </si>
  <si>
    <t xml:space="preserve">Contracted capacity in the resource master is accurate, including part-timers.</t>
  </si>
  <si>
    <t xml:space="preserve">Verified against HR contracts at kickoff; re-checked quarterly.</t>
  </si>
  <si>
    <t xml:space="preserve">D-001</t>
  </si>
  <si>
    <t xml:space="preserve">Dependency</t>
  </si>
  <si>
    <t xml:space="preserve">Portfolio reporting depends on all 6 PMs submitting status by Wednesday 12:00.</t>
  </si>
  <si>
    <t xml:space="preserve">Project Managers</t>
  </si>
  <si>
    <t xml:space="preserve">Built into the reporting cadence; late submissions escalated to the Delivery Director.</t>
  </si>
  <si>
    <t xml:space="preserve">2026-02-05</t>
  </si>
  <si>
    <t xml:space="preserve">Decision Log</t>
  </si>
  <si>
    <t xml:space="preserve">What was decided, by whom, and why.</t>
  </si>
  <si>
    <t xml:space="preserve">Date</t>
  </si>
  <si>
    <t xml:space="preserve">Decision</t>
  </si>
  <si>
    <t xml:space="preserve">Decided by</t>
  </si>
  <si>
    <t xml:space="preserve">Rationale</t>
  </si>
  <si>
    <t xml:space="preserve">DEC-01</t>
  </si>
  <si>
    <t xml:space="preserve">Report the portfolio AMBER despite 5 of 6 projects being reported Green or Amber by their PMs.</t>
  </si>
  <si>
    <t xml:space="preserve">Delivery Director / PCO</t>
  </si>
  <si>
    <t xml:space="preserve">Every project looked acceptable on year-to-date spend. Once $177K of committed cost was included, forecast margin fell from 26.0% to 15.6%. Reporting the PMs' aggregated view would have been accurate to what was submitted and completely misleading about where the portfolio lands.</t>
  </si>
  <si>
    <t xml:space="preserve">DEC-02</t>
  </si>
  <si>
    <t xml:space="preserve">Change the reporting standard: committed cost is now mandatory in every project status submission, and the portfolio RAG is computed centrally, not self-reported.</t>
  </si>
  <si>
    <t xml:space="preserve">Three PMs reported Green on projects forecasting over budget — not dishonesty, but a status template that only asked for spend to date. Fix the template, not the people.</t>
  </si>
  <si>
    <t xml:space="preserve">DEC-03</t>
  </si>
  <si>
    <t xml:space="preserve">Cap the over-allocated senior developer at 100% and move 20h/wk to a mid-level developer, accepting a minor slip on a lower-priority T&amp;M project.</t>
  </si>
  <si>
    <t xml:space="preserve">A developer at 140% for three weeks will either burn out or ship defects. Both cost more than a small slip on the least critical project.</t>
  </si>
  <si>
    <t xml:space="preserve">DEC-04</t>
  </si>
  <si>
    <t xml:space="preserve">Escalate the Payments Fraud go-live slip to Finance rather than absorb it in the delivery plan.</t>
  </si>
  <si>
    <t xml:space="preserve">The deploy now forecasts into January 2027, which moves revenue recognition into the next financial year. That is a Finance decision, not a delivery one.</t>
  </si>
  <si>
    <t xml:space="preserve">Portfolio Governance Standards</t>
  </si>
  <si>
    <t xml:space="preserve">The cadence, thresholds and data rules the PMO runs to. This is the operating manual, not a report.</t>
  </si>
  <si>
    <t xml:space="preserve">REPORTING CADENCE</t>
  </si>
  <si>
    <t xml:space="preserve">Forum</t>
  </si>
  <si>
    <t xml:space="preserve">Frequency</t>
  </si>
  <si>
    <t xml:space="preserve">Attendees</t>
  </si>
  <si>
    <t xml:space="preserve">Input due</t>
  </si>
  <si>
    <t xml:space="preserve">Output</t>
  </si>
  <si>
    <t xml:space="preserve">Project status submission</t>
  </si>
  <si>
    <t xml:space="preserve">Weekly, Wed 12:00</t>
  </si>
  <si>
    <t xml:space="preserve">All 6 PMs</t>
  </si>
  <si>
    <t xml:space="preserve">Wed 12:00</t>
  </si>
  <si>
    <t xml:space="preserve">Status per project incl. committed cost</t>
  </si>
  <si>
    <t xml:space="preserve">Resource Review Board</t>
  </si>
  <si>
    <t xml:space="preserve">Weekly, Thu 10:00</t>
  </si>
  <si>
    <t xml:space="preserve">Resourcing Mgr, PMs, PCO</t>
  </si>
  <si>
    <t xml:space="preserve">Wed EOD</t>
  </si>
  <si>
    <t xml:space="preserve">Allocation changes, over-allocation cleared</t>
  </si>
  <si>
    <t xml:space="preserve">Portfolio Board</t>
  </si>
  <si>
    <t xml:space="preserve">Monthly, 1st Tue</t>
  </si>
  <si>
    <t xml:space="preserve">Delivery Director, Finance, PMs</t>
  </si>
  <si>
    <t xml:space="preserve">Prior Fri</t>
  </si>
  <si>
    <t xml:space="preserve">Portfolio dashboard, decisions, escalations</t>
  </si>
  <si>
    <t xml:space="preserve">Benefits review</t>
  </si>
  <si>
    <t xml:space="preserve">Quarterly</t>
  </si>
  <si>
    <t xml:space="preserve">Sponsor, Business owners</t>
  </si>
  <si>
    <t xml:space="preserve">2 wks prior</t>
  </si>
  <si>
    <t xml:space="preserve">Benefits register updated and re-baselined</t>
  </si>
  <si>
    <t xml:space="preserve">RAG THRESHOLDS — computed, not self-assessed</t>
  </si>
  <si>
    <t xml:space="preserve">Measure</t>
  </si>
  <si>
    <t xml:space="preserve">Cost variance at completion</t>
  </si>
  <si>
    <t xml:space="preserve">Within −2% of budget</t>
  </si>
  <si>
    <t xml:space="preserve">−2% to −10%</t>
  </si>
  <si>
    <t xml:space="preserve">Worse than −10%</t>
  </si>
  <si>
    <t xml:space="preserve">Milestone slip</t>
  </si>
  <si>
    <t xml:space="preserve">≤5 days</t>
  </si>
  <si>
    <t xml:space="preserve">6–20 days</t>
  </si>
  <si>
    <t xml:space="preserve">Over 20 days</t>
  </si>
  <si>
    <t xml:space="preserve">Resource utilisation</t>
  </si>
  <si>
    <t xml:space="preserve">75–85%</t>
  </si>
  <si>
    <t xml:space="preserve">85–90% or 60–75%</t>
  </si>
  <si>
    <t xml:space="preserve">Over 90% or under 60%</t>
  </si>
  <si>
    <t xml:space="preserve">Benefit tracking</t>
  </si>
  <si>
    <t xml:space="preserve">On target</t>
  </si>
  <si>
    <t xml:space="preserve">Within 25% of target</t>
  </si>
  <si>
    <t xml:space="preserve">Missed or dropped</t>
  </si>
  <si>
    <t xml:space="preserve">DATA QUALITY RULES</t>
  </si>
  <si>
    <t xml:space="preserve">Rule</t>
  </si>
  <si>
    <t xml:space="preserve">Why</t>
  </si>
  <si>
    <t xml:space="preserve">Check frequency</t>
  </si>
  <si>
    <t xml:space="preserve">Committed cost must be included in every status</t>
  </si>
  <si>
    <t xml:space="preserve">Spend to date alone hides forecast overruns — this is how 3 projects reported Green while forecasting over</t>
  </si>
  <si>
    <t xml:space="preserve">Weekly</t>
  </si>
  <si>
    <t xml:space="preserve">No resource booked above 100% of contracted capacity</t>
  </si>
  <si>
    <t xml:space="preserve">Sustained over-booking causes burnout, attrition and defects</t>
  </si>
  <si>
    <t xml:space="preserve">Tentative bookings older than 5 days are chased automatically</t>
  </si>
  <si>
    <t xml:space="preserve">Unconfirmed holds block capacity that is actually available</t>
  </si>
  <si>
    <t xml:space="preserve">Automated, daily</t>
  </si>
  <si>
    <t xml:space="preserve">Every allocation must map to a resource in the master</t>
  </si>
  <si>
    <t xml:space="preserve">Ghost resources create phantom capacity</t>
  </si>
  <si>
    <t xml:space="preserve">A benefit may only be removed by a logged decision</t>
  </si>
  <si>
    <t xml:space="preserve">Benefits quietly dropped leave the business case unmatched to delivery</t>
  </si>
  <si>
    <t xml:space="preserve">Portfolio Status Report</t>
  </si>
  <si>
    <t xml:space="preserve">Meridian Digital Consulting · period ending 31 Aug 2026 · for the monthly Portfolio Board</t>
  </si>
  <si>
    <t xml:space="preserve">Overall</t>
  </si>
  <si>
    <t xml:space="preserve">AMBER</t>
  </si>
  <si>
    <t xml:space="preserve">Cost</t>
  </si>
  <si>
    <t xml:space="preserve">Schedule</t>
  </si>
  <si>
    <t xml:space="preserve">GREEN</t>
  </si>
  <si>
    <t xml:space="preserve">Benefits</t>
  </si>
  <si>
    <t xml:space="preserve">Headline</t>
  </si>
  <si>
    <t xml:space="preserve">• Five of six projects were submitted Green or Amber by their PMs. Computed centrally with committed cost included, three of those are Amber or Red.</t>
  </si>
  <si>
    <t xml:space="preserve">• Portfolio margin is forecast to erode from 26.0% to 15.6% — $228,477 of unplanned cost against $2.215M of contracted revenue.</t>
  </si>
  <si>
    <t xml:space="preserve">• Reporting the aggregated PM view would have been accurate to what was submitted, and misleading about where this portfolio lands.</t>
  </si>
  <si>
    <t xml:space="preserve">Cost position</t>
  </si>
  <si>
    <t xml:space="preserve">• Cost budget $1,640,000 · actual to date $1,448,626 · committed $177,000 · forecast at completion $1,868,477.</t>
  </si>
  <si>
    <t xml:space="preserve">• Worst variance: Insurance Claims Automation — +2.7% on year-to-date spend, but 20.5% ($96,502) over at completion once contractor extensions are counted.</t>
  </si>
  <si>
    <t xml:space="preserve">• Wealth Platform is 6% under budget — this is a slipped-delivery symptom, not a saving. Reframed as a schedule issue.</t>
  </si>
  <si>
    <t xml:space="preserve">• 7 milestones at risk across the portfolio; worst slip 42 days.</t>
  </si>
  <si>
    <t xml:space="preserve">• Payments Fraud production deploy now forecasts January 2027 — outside the contract year. Escalated to Finance (R-002).</t>
  </si>
  <si>
    <t xml:space="preserve">• Portfolio utilisation averages 86%. Peak weekly bookings reached 140% on one senior developer — now rebalanced and capped at 100%.</t>
  </si>
  <si>
    <t xml:space="preserve">• Seven allocation data defects cleared, surfacing ~60 hours of capacity the PMO could not previously see.</t>
  </si>
  <si>
    <t xml:space="preserve">Decisions required from the Board</t>
  </si>
  <si>
    <t xml:space="preserve">• APPROVE the revised reporting standard: committed cost mandatory in every status; portfolio RAG computed centrally, not self-reported (DEC-02).</t>
  </si>
  <si>
    <t xml:space="preserve">• APPROVE cross-skilling of 2 mid-level developers to remove the senior-developer single point of failure (R-001).</t>
  </si>
  <si>
    <t xml:space="preserve">• NOTE the Payments Fraud revenue-recognition slip into FY2027 and confirm the Finance treatment.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</si>
</sst>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\$#,##0;&quot;($&quot;#,##0\)"/>
    <numFmt numFmtId="168" formatCode="0"/>
    <numFmt numFmtId="169" formatCode="#,##0"/>
    <numFmt numFmtId="170" formatCode="General"/>
    <numFmt numFmtId="171" formatCode="\$#,##0"/>
    <numFmt numFmtId="172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0192B"/>
      <name val="Calibri"/>
      <family val="0"/>
      <charset val="1"/>
    </font>
    <font>
      <sz val="10"/>
      <color rgb="FF44566A"/>
      <name val="Calibri"/>
      <family val="0"/>
      <charset val="1"/>
    </font>
    <font>
      <b val="true"/>
      <sz val="12"/>
      <color rgb="FF10192B"/>
      <name val="Calibri"/>
      <family val="0"/>
      <charset val="1"/>
    </font>
    <font>
      <b val="true"/>
      <sz val="10"/>
      <color rgb="FF44566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10192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192B"/>
        <bgColor rgb="FF000000"/>
      </patternFill>
    </fill>
    <fill>
      <patternFill patternType="solid">
        <fgColor rgb="FFE9E8E4"/>
        <bgColor rgb="FFE4F1EA"/>
      </patternFill>
    </fill>
    <fill>
      <patternFill patternType="solid">
        <fgColor rgb="FFF7EAD6"/>
        <bgColor rgb="FFF6E1E3"/>
      </patternFill>
    </fill>
    <fill>
      <patternFill patternType="solid">
        <fgColor rgb="FFE4F1EA"/>
        <bgColor rgb="FFE9E8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6"/>
      </left>
      <right style="thin">
        <color rgb="FFD9D4C6"/>
      </right>
      <top style="thin">
        <color rgb="FFD9D4C6"/>
      </top>
      <bottom style="thin">
        <color rgb="FFD9D4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6E1E3"/>
        </patternFill>
      </fill>
    </dxf>
    <dxf>
      <fill>
        <patternFill>
          <bgColor rgb="FFE4F1EA"/>
        </patternFill>
      </fill>
    </dxf>
    <dxf>
      <fill>
        <patternFill>
          <bgColor rgb="FFF7EAD6"/>
        </patternFill>
      </fill>
    </dxf>
    <dxf>
      <font>
        <b val="1"/>
        <color rgb="FF8A2C3B"/>
      </font>
      <fill>
        <patternFill>
          <bgColor rgb="FFF6E1E3"/>
        </patternFill>
      </fill>
    </dxf>
    <dxf>
      <fill>
        <patternFill>
          <bgColor rgb="FFE9E8E4"/>
        </patternFill>
      </fill>
    </dxf>
    <dxf>
      <fill>
        <patternFill>
          <bgColor rgb="FFF7EAD6"/>
        </patternFill>
      </fill>
    </dxf>
    <dxf>
      <font>
        <b val="1"/>
        <color rgb="FF8A2C3B"/>
      </font>
      <fill>
        <patternFill>
          <bgColor rgb="FFF6E1E3"/>
        </patternFill>
      </fill>
    </dxf>
    <dxf>
      <fill>
        <patternFill>
          <bgColor rgb="FFF6E1E3"/>
        </patternFill>
      </fill>
    </dxf>
    <dxf>
      <fill>
        <patternFill>
          <bgColor rgb="FFE4F1E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6"/>
      <rgbColor rgb="FF878787"/>
      <rgbColor rgb="FF9999FF"/>
      <rgbColor rgb="FF8A2C3B"/>
      <rgbColor rgb="FFF7EAD6"/>
      <rgbColor rgb="FFE4F1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4"/>
      <rgbColor rgb="FFFFFF99"/>
      <rgbColor rgb="FF99CCFF"/>
      <rgbColor rgb="FFFF99CC"/>
      <rgbColor rgb="FFCC99FF"/>
      <rgbColor rgb="FFF6E1E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10192B"/>
      <rgbColor rgb="FF333300"/>
      <rgbColor rgb="FF993300"/>
      <rgbColor rgb="FF993366"/>
      <rgbColor rgb="FF4456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 variance at completion by project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'Portfolio Dashboard'!J16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Dashboard'!$B$17:$B$22</c:f>
              <c:strCache>
                <c:ptCount val="6"/>
                <c:pt idx="0">
                  <c:v>Retail Bank Mobile App Rollout</c:v>
                </c:pt>
                <c:pt idx="1">
                  <c:v>Wealth Platform Data Migration</c:v>
                </c:pt>
                <c:pt idx="2">
                  <c:v>Insurance Claims Automation</c:v>
                </c:pt>
                <c:pt idx="3">
                  <c:v>Core Banking API Layer</c:v>
                </c:pt>
                <c:pt idx="4">
                  <c:v>Regulatory Reporting Dashboard</c:v>
                </c:pt>
                <c:pt idx="5">
                  <c:v>Payments Fraud Model Uplift</c:v>
                </c:pt>
              </c:strCache>
            </c:strRef>
          </c:cat>
          <c:val>
            <c:numRef>
              <c:f>'Portfolio Dashboard'!$J$17:$J$22</c:f>
              <c:numCache>
                <c:formatCode>\$#,##0;"($"#,##0\)</c:formatCode>
                <c:ptCount val="6"/>
                <c:pt idx="0">
                  <c:v>-24227.2</c:v>
                </c:pt>
                <c:pt idx="1">
                  <c:v>3953.90999999997</c:v>
                </c:pt>
                <c:pt idx="2">
                  <c:v>-96502.4300000001</c:v>
                </c:pt>
                <c:pt idx="3">
                  <c:v>-33141.07</c:v>
                </c:pt>
                <c:pt idx="4">
                  <c:v>-702.039999999994</c:v>
                </c:pt>
                <c:pt idx="5">
                  <c:v>-77858.47</c:v>
                </c:pt>
              </c:numCache>
            </c:numRef>
          </c:val>
        </c:ser>
        <c:gapWidth val="150"/>
        <c:overlap val="0"/>
        <c:axId val="29113"/>
        <c:axId val="67281221"/>
      </c:barChart>
      <c:catAx>
        <c:axId val="291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81221"/>
        <c:crosses val="autoZero"/>
        <c:auto val="1"/>
        <c:lblAlgn val="ctr"/>
        <c:lblOffset val="100"/>
        <c:noMultiLvlLbl val="0"/>
      </c:catAx>
      <c:valAx>
        <c:axId val="672812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25</xdr:row>
      <xdr:rowOff>131040</xdr:rowOff>
    </xdr:from>
    <xdr:to>
      <xdr:col>14</xdr:col>
      <xdr:colOff>840240</xdr:colOff>
      <xdr:row>40</xdr:row>
      <xdr:rowOff>152280</xdr:rowOff>
    </xdr:to>
    <xdr:graphicFrame>
      <xdr:nvGraphicFramePr>
        <xdr:cNvPr id="0" name="Chart 1"/>
        <xdr:cNvGraphicFramePr/>
      </xdr:nvGraphicFramePr>
      <xdr:xfrm>
        <a:off x="6555240" y="5188680"/>
        <a:ext cx="6478920" cy="287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8" min="6" style="1" width="12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16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  <c r="C6" s="6" t="n">
        <f aca="false">SUM(Projects!E6:E11)</f>
        <v>2215000</v>
      </c>
    </row>
    <row r="7" customFormat="false" ht="15" hidden="false" customHeight="true" outlineLevel="0" collapsed="false">
      <c r="B7" s="5" t="s">
        <v>4</v>
      </c>
      <c r="C7" s="6" t="n">
        <f aca="false">SUM(Projects!F6:F11)</f>
        <v>1640000</v>
      </c>
    </row>
    <row r="8" customFormat="false" ht="15" hidden="false" customHeight="true" outlineLevel="0" collapsed="false">
      <c r="B8" s="5" t="s">
        <v>5</v>
      </c>
      <c r="C8" s="6" t="n">
        <f aca="false">SUM(Actuals!P6:P11)</f>
        <v>1448625.86</v>
      </c>
    </row>
    <row r="9" customFormat="false" ht="15" hidden="false" customHeight="true" outlineLevel="0" collapsed="false">
      <c r="B9" s="5" t="s">
        <v>6</v>
      </c>
      <c r="C9" s="6" t="n">
        <f aca="false">SUM(Committed!D6:D11)</f>
        <v>177000</v>
      </c>
    </row>
    <row r="10" customFormat="false" ht="15" hidden="false" customHeight="true" outlineLevel="0" collapsed="false">
      <c r="B10" s="5" t="s">
        <v>7</v>
      </c>
      <c r="C10" s="6" t="n">
        <f aca="false">SUM(I17:I22)</f>
        <v>1868477.3</v>
      </c>
    </row>
    <row r="11" customFormat="false" ht="15" hidden="false" customHeight="true" outlineLevel="0" collapsed="false">
      <c r="B11" s="5" t="s">
        <v>8</v>
      </c>
      <c r="C11" s="7" t="n">
        <f aca="false">(C6-C7)/C6</f>
        <v>0.259593679458239</v>
      </c>
    </row>
    <row r="12" customFormat="false" ht="15" hidden="false" customHeight="true" outlineLevel="0" collapsed="false">
      <c r="B12" s="5" t="s">
        <v>9</v>
      </c>
      <c r="C12" s="7" t="n">
        <f aca="false">(C6-C10)/C6</f>
        <v>0.156443656884876</v>
      </c>
    </row>
    <row r="13" customFormat="false" ht="15" hidden="false" customHeight="true" outlineLevel="0" collapsed="false">
      <c r="B13" s="5" t="s">
        <v>10</v>
      </c>
      <c r="C13" s="7" t="n">
        <f aca="false">C11-C12</f>
        <v>0.103150022573363</v>
      </c>
    </row>
    <row r="15" customFormat="false" ht="15" hidden="false" customHeight="true" outlineLevel="0" collapsed="false">
      <c r="B15" s="4" t="s">
        <v>11</v>
      </c>
    </row>
    <row r="16" customFormat="false" ht="33.75" hidden="false" customHeight="true" outlineLevel="0" collapsed="false">
      <c r="B16" s="8" t="s">
        <v>12</v>
      </c>
      <c r="C16" s="8" t="s">
        <v>13</v>
      </c>
      <c r="D16" s="8" t="s">
        <v>14</v>
      </c>
      <c r="E16" s="8" t="s">
        <v>15</v>
      </c>
      <c r="F16" s="8" t="s">
        <v>16</v>
      </c>
      <c r="G16" s="8" t="s">
        <v>17</v>
      </c>
      <c r="H16" s="8" t="s">
        <v>18</v>
      </c>
      <c r="I16" s="8" t="s">
        <v>19</v>
      </c>
      <c r="J16" s="8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</row>
    <row r="17" customFormat="false" ht="15" hidden="false" customHeight="true" outlineLevel="0" collapsed="false">
      <c r="B17" s="9" t="str">
        <f aca="false">Projects!C6</f>
        <v>Retail Bank Mobile App Rollout</v>
      </c>
      <c r="C17" s="9" t="str">
        <f aca="false">Projects!I6</f>
        <v>G. Liu</v>
      </c>
      <c r="D17" s="10" t="n">
        <f aca="false">Projects!E6</f>
        <v>485000</v>
      </c>
      <c r="E17" s="10" t="n">
        <f aca="false">Projects!F6</f>
        <v>352000</v>
      </c>
      <c r="F17" s="10" t="n">
        <f aca="false">SUM(Budget!D6:K6)</f>
        <v>352000.02</v>
      </c>
      <c r="G17" s="10" t="n">
        <f aca="false">Actuals!P6</f>
        <v>357727.2</v>
      </c>
      <c r="H17" s="10" t="n">
        <f aca="false">Committed!D6</f>
        <v>18500</v>
      </c>
      <c r="I17" s="10" t="n">
        <f aca="false">G17+H17+SUM(Budget!L6:O6)</f>
        <v>376227.2</v>
      </c>
      <c r="J17" s="10" t="n">
        <f aca="false">E17-I17</f>
        <v>-24227.2</v>
      </c>
      <c r="K17" s="11" t="n">
        <f aca="false">IF(E17=0,0,J17/E17)</f>
        <v>-0.0688272727272728</v>
      </c>
      <c r="L17" s="11" t="n">
        <f aca="false">IF(D17=0,0,(D17-I17)/D17)</f>
        <v>0.22427381443299</v>
      </c>
      <c r="M17" s="12" t="str">
        <f aca="false">IF(K17&gt;=-0.02,"GREEN",IF(K17&gt;=-0.1,"AMBER","RED"))</f>
        <v>AMBER</v>
      </c>
      <c r="N17" s="12" t="str">
        <f aca="false">'PM Reported RAG'!D6</f>
        <v>Green</v>
      </c>
      <c r="O17" s="12" t="str">
        <f aca="false">IF(AND(N17="Green",M17&lt;&gt;"GREEN"),"UNDER-REPORTED",IF(M17&lt;&gt;UPPER(N17),"mismatch",""))</f>
        <v>UNDER-REPORTED</v>
      </c>
    </row>
    <row r="18" customFormat="false" ht="15" hidden="false" customHeight="true" outlineLevel="0" collapsed="false">
      <c r="B18" s="9" t="str">
        <f aca="false">Projects!C7</f>
        <v>Wealth Platform Data Migration</v>
      </c>
      <c r="C18" s="9" t="str">
        <f aca="false">Projects!I7</f>
        <v>G. Liu</v>
      </c>
      <c r="D18" s="10" t="n">
        <f aca="false">Projects!E7</f>
        <v>312000</v>
      </c>
      <c r="E18" s="10" t="n">
        <f aca="false">Projects!F7</f>
        <v>236000</v>
      </c>
      <c r="F18" s="10" t="n">
        <f aca="false">SUM(Budget!D7:K7)</f>
        <v>219268.19</v>
      </c>
      <c r="G18" s="10" t="n">
        <f aca="false">Actuals!P7</f>
        <v>206114.26</v>
      </c>
      <c r="H18" s="10" t="n">
        <f aca="false">Committed!D7</f>
        <v>9200</v>
      </c>
      <c r="I18" s="10" t="n">
        <f aca="false">G18+H18+SUM(Budget!L7:O7)</f>
        <v>232046.09</v>
      </c>
      <c r="J18" s="10" t="n">
        <f aca="false">E18-I18</f>
        <v>3953.90999999997</v>
      </c>
      <c r="K18" s="11" t="n">
        <f aca="false">IF(E18=0,0,J18/E18)</f>
        <v>0.0167538559322033</v>
      </c>
      <c r="L18" s="11" t="n">
        <f aca="false">IF(D18=0,0,(D18-I18)/D18)</f>
        <v>0.256262532051282</v>
      </c>
      <c r="M18" s="12" t="str">
        <f aca="false">IF(K18&gt;=-0.02,"GREEN",IF(K18&gt;=-0.1,"AMBER","RED"))</f>
        <v>GREEN</v>
      </c>
      <c r="N18" s="12" t="str">
        <f aca="false">'PM Reported RAG'!D7</f>
        <v>Amber</v>
      </c>
      <c r="O18" s="12" t="str">
        <f aca="false">IF(AND(N18="Green",M18&lt;&gt;"GREEN"),"UNDER-REPORTED",IF(M18&lt;&gt;UPPER(N18),"mismatch",""))</f>
        <v>mismatch</v>
      </c>
    </row>
    <row r="19" customFormat="false" ht="15" hidden="false" customHeight="true" outlineLevel="0" collapsed="false">
      <c r="B19" s="9" t="str">
        <f aca="false">Projects!C8</f>
        <v>Insurance Claims Automation</v>
      </c>
      <c r="C19" s="9" t="str">
        <f aca="false">Projects!I8</f>
        <v>O. Haddad</v>
      </c>
      <c r="D19" s="10" t="n">
        <f aca="false">Projects!E8</f>
        <v>640000</v>
      </c>
      <c r="E19" s="10" t="n">
        <f aca="false">Projects!F8</f>
        <v>470000</v>
      </c>
      <c r="F19" s="10" t="n">
        <f aca="false">SUM(Budget!D8:K8)</f>
        <v>371078.71</v>
      </c>
      <c r="G19" s="10" t="n">
        <f aca="false">Actuals!P8</f>
        <v>381081.15</v>
      </c>
      <c r="H19" s="10" t="n">
        <f aca="false">Committed!D8</f>
        <v>86500</v>
      </c>
      <c r="I19" s="10" t="n">
        <f aca="false">G19+H19+SUM(Budget!L8:O8)</f>
        <v>566502.43</v>
      </c>
      <c r="J19" s="10" t="n">
        <f aca="false">E19-I19</f>
        <v>-96502.4300000001</v>
      </c>
      <c r="K19" s="11" t="n">
        <f aca="false">IF(E19=0,0,J19/E19)</f>
        <v>-0.205324319148936</v>
      </c>
      <c r="L19" s="11" t="n">
        <f aca="false">IF(D19=0,0,(D19-I19)/D19)</f>
        <v>0.114839953125</v>
      </c>
      <c r="M19" s="12" t="str">
        <f aca="false">IF(K19&gt;=-0.02,"GREEN",IF(K19&gt;=-0.1,"AMBER","RED"))</f>
        <v>RED</v>
      </c>
      <c r="N19" s="12" t="str">
        <f aca="false">'PM Reported RAG'!D8</f>
        <v>Green</v>
      </c>
      <c r="O19" s="12" t="str">
        <f aca="false">IF(AND(N19="Green",M19&lt;&gt;"GREEN"),"UNDER-REPORTED",IF(M19&lt;&gt;UPPER(N19),"mismatch",""))</f>
        <v>UNDER-REPORTED</v>
      </c>
    </row>
    <row r="20" customFormat="false" ht="15" hidden="false" customHeight="true" outlineLevel="0" collapsed="false">
      <c r="B20" s="9" t="str">
        <f aca="false">Projects!C9</f>
        <v>Core Banking API Layer</v>
      </c>
      <c r="C20" s="9" t="str">
        <f aca="false">Projects!I9</f>
        <v>O. Haddad</v>
      </c>
      <c r="D20" s="10" t="n">
        <f aca="false">Projects!E9</f>
        <v>228000</v>
      </c>
      <c r="E20" s="10" t="n">
        <f aca="false">Projects!F9</f>
        <v>171000</v>
      </c>
      <c r="F20" s="10" t="n">
        <f aca="false">SUM(Budget!D9:K9)</f>
        <v>139269.43</v>
      </c>
      <c r="G20" s="10" t="n">
        <f aca="false">Actuals!P9</f>
        <v>151410.48</v>
      </c>
      <c r="H20" s="10" t="n">
        <f aca="false">Committed!D9</f>
        <v>21000</v>
      </c>
      <c r="I20" s="10" t="n">
        <f aca="false">G20+H20+SUM(Budget!L9:O9)</f>
        <v>204141.07</v>
      </c>
      <c r="J20" s="10" t="n">
        <f aca="false">E20-I20</f>
        <v>-33141.07</v>
      </c>
      <c r="K20" s="11" t="n">
        <f aca="false">IF(E20=0,0,J20/E20)</f>
        <v>-0.193807426900585</v>
      </c>
      <c r="L20" s="11" t="n">
        <f aca="false">IF(D20=0,0,(D20-I20)/D20)</f>
        <v>0.104644429824561</v>
      </c>
      <c r="M20" s="12" t="str">
        <f aca="false">IF(K20&gt;=-0.02,"GREEN",IF(K20&gt;=-0.1,"AMBER","RED"))</f>
        <v>RED</v>
      </c>
      <c r="N20" s="12" t="str">
        <f aca="false">'PM Reported RAG'!D9</f>
        <v>Green</v>
      </c>
      <c r="O20" s="12" t="str">
        <f aca="false">IF(AND(N20="Green",M20&lt;&gt;"GREEN"),"UNDER-REPORTED",IF(M20&lt;&gt;UPPER(N20),"mismatch",""))</f>
        <v>UNDER-REPORTED</v>
      </c>
    </row>
    <row r="21" customFormat="false" ht="15" hidden="false" customHeight="true" outlineLevel="0" collapsed="false">
      <c r="B21" s="9" t="str">
        <f aca="false">Projects!C10</f>
        <v>Regulatory Reporting Dashboard</v>
      </c>
      <c r="C21" s="9" t="str">
        <f aca="false">Projects!I10</f>
        <v>G. Liu</v>
      </c>
      <c r="D21" s="10" t="n">
        <f aca="false">Projects!E10</f>
        <v>156000</v>
      </c>
      <c r="E21" s="10" t="n">
        <f aca="false">Projects!F10</f>
        <v>112000</v>
      </c>
      <c r="F21" s="10" t="n">
        <f aca="false">SUM(Budget!D10:K10)</f>
        <v>112000</v>
      </c>
      <c r="G21" s="10" t="n">
        <f aca="false">Actuals!P10</f>
        <v>112702.04</v>
      </c>
      <c r="H21" s="10" t="n">
        <f aca="false">Committed!D10</f>
        <v>0</v>
      </c>
      <c r="I21" s="10" t="n">
        <f aca="false">G21+H21+SUM(Budget!L10:O10)</f>
        <v>112702.04</v>
      </c>
      <c r="J21" s="10" t="n">
        <f aca="false">E21-I21</f>
        <v>-702.039999999994</v>
      </c>
      <c r="K21" s="11" t="n">
        <f aca="false">IF(E21=0,0,J21/E21)</f>
        <v>-0.00626821428571423</v>
      </c>
      <c r="L21" s="11" t="n">
        <f aca="false">IF(D21=0,0,(D21-I21)/D21)</f>
        <v>0.277551025641026</v>
      </c>
      <c r="M21" s="12" t="str">
        <f aca="false">IF(K21&gt;=-0.02,"GREEN",IF(K21&gt;=-0.1,"AMBER","RED"))</f>
        <v>GREEN</v>
      </c>
      <c r="N21" s="12" t="str">
        <f aca="false">'PM Reported RAG'!D10</f>
        <v>Green</v>
      </c>
      <c r="O21" s="12" t="str">
        <f aca="false">IF(AND(N21="Green",M21&lt;&gt;"GREEN"),"UNDER-REPORTED",IF(M21&lt;&gt;UPPER(N21),"mismatch",""))</f>
        <v/>
      </c>
    </row>
    <row r="22" customFormat="false" ht="15" hidden="false" customHeight="true" outlineLevel="0" collapsed="false">
      <c r="B22" s="9" t="str">
        <f aca="false">Projects!C11</f>
        <v>Payments Fraud Model Uplift</v>
      </c>
      <c r="C22" s="9" t="str">
        <f aca="false">Projects!I11</f>
        <v>O. Haddad</v>
      </c>
      <c r="D22" s="10" t="n">
        <f aca="false">Projects!E11</f>
        <v>394000</v>
      </c>
      <c r="E22" s="10" t="n">
        <f aca="false">Projects!F11</f>
        <v>299000</v>
      </c>
      <c r="F22" s="10" t="n">
        <f aca="false">SUM(Budget!D11:K11)</f>
        <v>203532.25</v>
      </c>
      <c r="G22" s="10" t="n">
        <f aca="false">Actuals!P11</f>
        <v>239590.73</v>
      </c>
      <c r="H22" s="10" t="n">
        <f aca="false">Committed!D11</f>
        <v>41800</v>
      </c>
      <c r="I22" s="10" t="n">
        <f aca="false">G22+H22+SUM(Budget!L11:O11)</f>
        <v>376858.47</v>
      </c>
      <c r="J22" s="10" t="n">
        <f aca="false">E22-I22</f>
        <v>-77858.47</v>
      </c>
      <c r="K22" s="11" t="n">
        <f aca="false">IF(E22=0,0,J22/E22)</f>
        <v>-0.260396220735786</v>
      </c>
      <c r="L22" s="11" t="n">
        <f aca="false">IF(D22=0,0,(D22-I22)/D22)</f>
        <v>0.043506421319797</v>
      </c>
      <c r="M22" s="12" t="str">
        <f aca="false">IF(K22&gt;=-0.02,"GREEN",IF(K22&gt;=-0.1,"AMBER","RED"))</f>
        <v>RED</v>
      </c>
      <c r="N22" s="12" t="str">
        <f aca="false">'PM Reported RAG'!D11</f>
        <v>Amber</v>
      </c>
      <c r="O22" s="12" t="str">
        <f aca="false">IF(AND(N22="Green",M22&lt;&gt;"GREEN"),"UNDER-REPORTED",IF(M22&lt;&gt;UPPER(N22),"mismatch",""))</f>
        <v>mismatch</v>
      </c>
    </row>
    <row r="23" customFormat="false" ht="15" hidden="false" customHeight="true" outlineLevel="0" collapsed="false">
      <c r="B23" s="13" t="s">
        <v>26</v>
      </c>
      <c r="D23" s="14" t="n">
        <f aca="false">SUM(D17:D22)</f>
        <v>2215000</v>
      </c>
      <c r="E23" s="14" t="n">
        <f aca="false">SUM(E17:E22)</f>
        <v>1640000</v>
      </c>
      <c r="F23" s="14" t="n">
        <f aca="false">SUM(F17:F22)</f>
        <v>1397148.6</v>
      </c>
      <c r="G23" s="14" t="n">
        <f aca="false">SUM(G17:G22)</f>
        <v>1448625.86</v>
      </c>
      <c r="H23" s="14" t="n">
        <f aca="false">SUM(H17:H22)</f>
        <v>177000</v>
      </c>
      <c r="I23" s="14" t="n">
        <f aca="false">SUM(I17:I22)</f>
        <v>1868477.3</v>
      </c>
      <c r="J23" s="14" t="n">
        <f aca="false">SUM(J17:J22)</f>
        <v>-228477.3</v>
      </c>
      <c r="K23" s="15" t="n">
        <f aca="false">J23/E23</f>
        <v>-0.139315426829268</v>
      </c>
      <c r="L23" s="15" t="n">
        <f aca="false">(D23-I23)/D23</f>
        <v>0.156443656884876</v>
      </c>
    </row>
    <row r="26" customFormat="false" ht="15" hidden="false" customHeight="true" outlineLevel="0" collapsed="false">
      <c r="B26" s="4" t="s">
        <v>27</v>
      </c>
    </row>
    <row r="27" customFormat="false" ht="15" hidden="false" customHeight="true" outlineLevel="0" collapsed="false">
      <c r="B27" s="5" t="s">
        <v>28</v>
      </c>
      <c r="F27" s="16" t="n">
        <f aca="false">COUNTIF(Milestones!H6:H25,"At Risk")</f>
        <v>7</v>
      </c>
    </row>
    <row r="28" customFormat="false" ht="15" hidden="false" customHeight="true" outlineLevel="0" collapsed="false">
      <c r="B28" s="5" t="s">
        <v>29</v>
      </c>
      <c r="F28" s="16" t="n">
        <f aca="false">COUNTIF(Milestones!H6:H25,"Met (late)")</f>
        <v>7</v>
      </c>
    </row>
    <row r="29" customFormat="false" ht="15" hidden="false" customHeight="true" outlineLevel="0" collapsed="false">
      <c r="B29" s="5" t="s">
        <v>30</v>
      </c>
      <c r="F29" s="16" t="n">
        <f aca="false">MAX(Milestones!I6:I25)</f>
        <v>42</v>
      </c>
    </row>
    <row r="30" customFormat="false" ht="15" hidden="false" customHeight="true" outlineLevel="0" collapsed="false">
      <c r="B30" s="5" t="s">
        <v>31</v>
      </c>
      <c r="F30" s="16" t="n">
        <f aca="false">COUNTIF(Benefits!G6:G12,"Red")</f>
        <v>1</v>
      </c>
    </row>
    <row r="31" customFormat="false" ht="15" hidden="false" customHeight="true" outlineLevel="0" collapsed="false">
      <c r="B31" s="5" t="s">
        <v>32</v>
      </c>
      <c r="F31" s="16" t="n">
        <f aca="false">COUNTIF(O17:O22,"UNDER-REPORTED")</f>
        <v>3</v>
      </c>
    </row>
  </sheetData>
  <conditionalFormatting sqref="C13">
    <cfRule type="cellIs" priority="2" operator="greaterThan" aboveAverage="0" equalAverage="0" bottom="0" percent="0" rank="0" text="" dxfId="0">
      <formula>0.02</formula>
    </cfRule>
  </conditionalFormatting>
  <conditionalFormatting sqref="J17:J22">
    <cfRule type="cellIs" priority="3" operator="lessThan" aboveAverage="0" equalAverage="0" bottom="0" percent="0" rank="0" text="" dxfId="0">
      <formula>0</formula>
    </cfRule>
  </conditionalFormatting>
  <conditionalFormatting sqref="M17:M22">
    <cfRule type="cellIs" priority="4" operator="equal" aboveAverage="0" equalAverage="0" bottom="0" percent="0" rank="0" text="" dxfId="1">
      <formula>"GREEN"</formula>
    </cfRule>
    <cfRule type="cellIs" priority="5" operator="equal" aboveAverage="0" equalAverage="0" bottom="0" percent="0" rank="0" text="" dxfId="2">
      <formula>"AMBER"</formula>
    </cfRule>
    <cfRule type="cellIs" priority="6" operator="equal" aboveAverage="0" equalAverage="0" bottom="0" percent="0" rank="0" text="" dxfId="0">
      <formula>"RED"</formula>
    </cfRule>
  </conditionalFormatting>
  <conditionalFormatting sqref="N17:N22">
    <cfRule type="cellIs" priority="7" operator="equal" aboveAverage="0" equalAverage="0" bottom="0" percent="0" rank="0" text="" dxfId="1">
      <formula>"Green"</formula>
    </cfRule>
    <cfRule type="cellIs" priority="8" operator="equal" aboveAverage="0" equalAverage="0" bottom="0" percent="0" rank="0" text="" dxfId="2">
      <formula>"Amber"</formula>
    </cfRule>
    <cfRule type="cellIs" priority="9" operator="equal" aboveAverage="0" equalAverage="0" bottom="0" percent="0" rank="0" text="" dxfId="0">
      <formula>"Red"</formula>
    </cfRule>
  </conditionalFormatting>
  <conditionalFormatting sqref="O17:O22">
    <cfRule type="cellIs" priority="10" operator="equal" aboveAverage="0" equalAverage="0" bottom="0" percent="0" rank="0" text="" dxfId="3">
      <formula>"UNDER-REPORTED"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8" min="7" style="1" width="12"/>
    <col collapsed="false" customWidth="true" hidden="false" outlineLevel="0" max="9" min="9" style="1" width="16"/>
  </cols>
  <sheetData>
    <row r="2" customFormat="false" ht="18" hidden="false" customHeight="true" outlineLevel="0" collapsed="false">
      <c r="B2" s="17" t="s">
        <v>33</v>
      </c>
    </row>
    <row r="3" customFormat="false" ht="15" hidden="false" customHeight="true" outlineLevel="0" collapsed="false">
      <c r="B3" s="3" t="s">
        <v>34</v>
      </c>
    </row>
    <row r="5" customFormat="false" ht="27.75" hidden="false" customHeight="true" outlineLevel="0" collapsed="false">
      <c r="B5" s="18" t="s">
        <v>35</v>
      </c>
      <c r="C5" s="18" t="s">
        <v>36</v>
      </c>
      <c r="D5" s="18" t="s">
        <v>37</v>
      </c>
      <c r="E5" s="18" t="s">
        <v>38</v>
      </c>
      <c r="F5" s="18" t="s">
        <v>15</v>
      </c>
      <c r="G5" s="18" t="s">
        <v>39</v>
      </c>
      <c r="H5" s="18" t="s">
        <v>40</v>
      </c>
      <c r="I5" s="18" t="s">
        <v>41</v>
      </c>
    </row>
    <row r="6" customFormat="false" ht="18" hidden="false" customHeight="true" outlineLevel="0" collapsed="false">
      <c r="B6" s="19" t="s">
        <v>42</v>
      </c>
      <c r="C6" s="19" t="s">
        <v>43</v>
      </c>
      <c r="D6" s="19" t="s">
        <v>44</v>
      </c>
      <c r="E6" s="20" t="n">
        <v>485000</v>
      </c>
      <c r="F6" s="20" t="n">
        <v>352000</v>
      </c>
      <c r="G6" s="19" t="s">
        <v>45</v>
      </c>
      <c r="H6" s="19" t="s">
        <v>46</v>
      </c>
      <c r="I6" s="19" t="s">
        <v>47</v>
      </c>
    </row>
    <row r="7" customFormat="false" ht="18" hidden="false" customHeight="true" outlineLevel="0" collapsed="false">
      <c r="B7" s="19" t="s">
        <v>48</v>
      </c>
      <c r="C7" s="19" t="s">
        <v>49</v>
      </c>
      <c r="D7" s="19" t="s">
        <v>50</v>
      </c>
      <c r="E7" s="20" t="n">
        <v>312000</v>
      </c>
      <c r="F7" s="20" t="n">
        <v>236000</v>
      </c>
      <c r="G7" s="19" t="s">
        <v>51</v>
      </c>
      <c r="H7" s="19" t="s">
        <v>52</v>
      </c>
      <c r="I7" s="19" t="s">
        <v>47</v>
      </c>
    </row>
    <row r="8" customFormat="false" ht="18" hidden="false" customHeight="true" outlineLevel="0" collapsed="false">
      <c r="B8" s="19" t="s">
        <v>53</v>
      </c>
      <c r="C8" s="19" t="s">
        <v>54</v>
      </c>
      <c r="D8" s="19" t="s">
        <v>44</v>
      </c>
      <c r="E8" s="20" t="n">
        <v>640000</v>
      </c>
      <c r="F8" s="20" t="n">
        <v>470000</v>
      </c>
      <c r="G8" s="19" t="s">
        <v>55</v>
      </c>
      <c r="H8" s="19" t="s">
        <v>56</v>
      </c>
      <c r="I8" s="19" t="s">
        <v>57</v>
      </c>
    </row>
    <row r="9" customFormat="false" ht="18" hidden="false" customHeight="true" outlineLevel="0" collapsed="false">
      <c r="B9" s="19" t="s">
        <v>58</v>
      </c>
      <c r="C9" s="19" t="s">
        <v>59</v>
      </c>
      <c r="D9" s="19" t="s">
        <v>50</v>
      </c>
      <c r="E9" s="20" t="n">
        <v>228000</v>
      </c>
      <c r="F9" s="20" t="n">
        <v>171000</v>
      </c>
      <c r="G9" s="19" t="s">
        <v>60</v>
      </c>
      <c r="H9" s="19" t="s">
        <v>61</v>
      </c>
      <c r="I9" s="19" t="s">
        <v>57</v>
      </c>
    </row>
    <row r="10" customFormat="false" ht="18" hidden="false" customHeight="true" outlineLevel="0" collapsed="false">
      <c r="B10" s="19" t="s">
        <v>62</v>
      </c>
      <c r="C10" s="19" t="s">
        <v>63</v>
      </c>
      <c r="D10" s="19" t="s">
        <v>44</v>
      </c>
      <c r="E10" s="20" t="n">
        <v>156000</v>
      </c>
      <c r="F10" s="20" t="n">
        <v>112000</v>
      </c>
      <c r="G10" s="19" t="s">
        <v>64</v>
      </c>
      <c r="H10" s="19" t="s">
        <v>65</v>
      </c>
      <c r="I10" s="19" t="s">
        <v>47</v>
      </c>
    </row>
    <row r="11" customFormat="false" ht="18" hidden="false" customHeight="true" outlineLevel="0" collapsed="false">
      <c r="B11" s="19" t="s">
        <v>66</v>
      </c>
      <c r="C11" s="19" t="s">
        <v>67</v>
      </c>
      <c r="D11" s="19" t="s">
        <v>50</v>
      </c>
      <c r="E11" s="20" t="n">
        <v>394000</v>
      </c>
      <c r="F11" s="20" t="n">
        <v>299000</v>
      </c>
      <c r="G11" s="19" t="s">
        <v>68</v>
      </c>
      <c r="H11" s="19" t="s">
        <v>69</v>
      </c>
      <c r="I11" s="19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15" min="4" style="1" width="10"/>
    <col collapsed="false" customWidth="true" hidden="false" outlineLevel="0" max="16" min="16" style="1" width="16"/>
  </cols>
  <sheetData>
    <row r="2" customFormat="false" ht="18" hidden="false" customHeight="true" outlineLevel="0" collapsed="false">
      <c r="B2" s="17" t="s">
        <v>70</v>
      </c>
    </row>
    <row r="3" customFormat="false" ht="15" hidden="false" customHeight="true" outlineLevel="0" collapsed="false">
      <c r="B3" s="3" t="s">
        <v>71</v>
      </c>
    </row>
    <row r="5" customFormat="false" ht="27.75" hidden="false" customHeight="true" outlineLevel="0" collapsed="false">
      <c r="B5" s="18" t="s">
        <v>35</v>
      </c>
      <c r="C5" s="18" t="s">
        <v>36</v>
      </c>
      <c r="D5" s="18" t="s">
        <v>72</v>
      </c>
      <c r="E5" s="18" t="s">
        <v>73</v>
      </c>
      <c r="F5" s="18" t="s">
        <v>74</v>
      </c>
      <c r="G5" s="18" t="s">
        <v>75</v>
      </c>
      <c r="H5" s="18" t="s">
        <v>76</v>
      </c>
      <c r="I5" s="18" t="s">
        <v>77</v>
      </c>
      <c r="J5" s="18" t="s">
        <v>78</v>
      </c>
      <c r="K5" s="18" t="s">
        <v>79</v>
      </c>
      <c r="L5" s="18" t="s">
        <v>80</v>
      </c>
      <c r="M5" s="18" t="s">
        <v>81</v>
      </c>
      <c r="N5" s="18" t="s">
        <v>82</v>
      </c>
      <c r="O5" s="18" t="s">
        <v>83</v>
      </c>
      <c r="P5" s="18" t="s">
        <v>84</v>
      </c>
    </row>
    <row r="6" customFormat="false" ht="18" hidden="false" customHeight="true" outlineLevel="0" collapsed="false">
      <c r="B6" s="19" t="s">
        <v>42</v>
      </c>
      <c r="C6" s="19" t="s">
        <v>43</v>
      </c>
      <c r="D6" s="21" t="n">
        <v>24955.95</v>
      </c>
      <c r="E6" s="21" t="n">
        <v>40360.81</v>
      </c>
      <c r="F6" s="21" t="n">
        <v>52151.17</v>
      </c>
      <c r="G6" s="21" t="n">
        <v>58532.08</v>
      </c>
      <c r="H6" s="21" t="n">
        <v>58532.08</v>
      </c>
      <c r="I6" s="21" t="n">
        <v>52151.17</v>
      </c>
      <c r="J6" s="21" t="n">
        <v>40360.81</v>
      </c>
      <c r="K6" s="21" t="n">
        <v>24955.95</v>
      </c>
      <c r="L6" s="21" t="n">
        <v>0</v>
      </c>
      <c r="M6" s="21" t="n">
        <v>0</v>
      </c>
      <c r="N6" s="21" t="n">
        <v>0</v>
      </c>
      <c r="O6" s="21" t="n">
        <v>0</v>
      </c>
      <c r="P6" s="20" t="n">
        <v>352000.02</v>
      </c>
    </row>
    <row r="7" customFormat="false" ht="18" hidden="false" customHeight="true" outlineLevel="0" collapsed="false">
      <c r="B7" s="19" t="s">
        <v>48</v>
      </c>
      <c r="C7" s="19" t="s">
        <v>49</v>
      </c>
      <c r="D7" s="21" t="n">
        <v>0</v>
      </c>
      <c r="E7" s="21" t="n">
        <v>16731.83</v>
      </c>
      <c r="F7" s="21" t="n">
        <v>27060.09</v>
      </c>
      <c r="G7" s="21" t="n">
        <v>34964.99</v>
      </c>
      <c r="H7" s="21" t="n">
        <v>39243.1</v>
      </c>
      <c r="I7" s="21" t="n">
        <v>39243.1</v>
      </c>
      <c r="J7" s="21" t="n">
        <v>34964.99</v>
      </c>
      <c r="K7" s="21" t="n">
        <v>27060.09</v>
      </c>
      <c r="L7" s="21" t="n">
        <v>16731.83</v>
      </c>
      <c r="M7" s="21" t="n">
        <v>0</v>
      </c>
      <c r="N7" s="21" t="n">
        <v>0</v>
      </c>
      <c r="O7" s="21" t="n">
        <v>0</v>
      </c>
      <c r="P7" s="20" t="n">
        <v>236000.02</v>
      </c>
    </row>
    <row r="8" customFormat="false" ht="18" hidden="false" customHeight="true" outlineLevel="0" collapsed="false">
      <c r="B8" s="19" t="s">
        <v>53</v>
      </c>
      <c r="C8" s="19" t="s">
        <v>54</v>
      </c>
      <c r="D8" s="21" t="n">
        <v>22085.61</v>
      </c>
      <c r="E8" s="21" t="n">
        <v>33440.17</v>
      </c>
      <c r="F8" s="21" t="n">
        <v>43395.5</v>
      </c>
      <c r="G8" s="21" t="n">
        <v>51145.07</v>
      </c>
      <c r="H8" s="21" t="n">
        <v>56061.05</v>
      </c>
      <c r="I8" s="21" t="n">
        <v>57745.19</v>
      </c>
      <c r="J8" s="21" t="n">
        <v>56061.05</v>
      </c>
      <c r="K8" s="21" t="n">
        <v>51145.07</v>
      </c>
      <c r="L8" s="21" t="n">
        <v>43395.5</v>
      </c>
      <c r="M8" s="21" t="n">
        <v>33440.17</v>
      </c>
      <c r="N8" s="21" t="n">
        <v>22085.61</v>
      </c>
      <c r="O8" s="21" t="n">
        <v>0</v>
      </c>
      <c r="P8" s="20" t="n">
        <v>469999.99</v>
      </c>
    </row>
    <row r="9" customFormat="false" ht="18" hidden="false" customHeight="true" outlineLevel="0" collapsed="false">
      <c r="B9" s="19" t="s">
        <v>58</v>
      </c>
      <c r="C9" s="19" t="s">
        <v>59</v>
      </c>
      <c r="D9" s="21" t="n">
        <v>0</v>
      </c>
      <c r="E9" s="21" t="n">
        <v>0</v>
      </c>
      <c r="F9" s="21" t="n">
        <v>12123.49</v>
      </c>
      <c r="G9" s="21" t="n">
        <v>19607.1</v>
      </c>
      <c r="H9" s="21" t="n">
        <v>25334.8</v>
      </c>
      <c r="I9" s="21" t="n">
        <v>28434.62</v>
      </c>
      <c r="J9" s="21" t="n">
        <v>28434.62</v>
      </c>
      <c r="K9" s="21" t="n">
        <v>25334.8</v>
      </c>
      <c r="L9" s="21" t="n">
        <v>19607.1</v>
      </c>
      <c r="M9" s="21" t="n">
        <v>12123.49</v>
      </c>
      <c r="N9" s="21" t="n">
        <v>0</v>
      </c>
      <c r="O9" s="21" t="n">
        <v>0</v>
      </c>
      <c r="P9" s="20" t="n">
        <v>171000.02</v>
      </c>
    </row>
    <row r="10" customFormat="false" ht="18" hidden="false" customHeight="true" outlineLevel="0" collapsed="false">
      <c r="B10" s="19" t="s">
        <v>62</v>
      </c>
      <c r="C10" s="19" t="s">
        <v>63</v>
      </c>
      <c r="D10" s="21" t="n">
        <v>0</v>
      </c>
      <c r="E10" s="21" t="n">
        <v>0</v>
      </c>
      <c r="F10" s="21" t="n">
        <v>0</v>
      </c>
      <c r="G10" s="21" t="n">
        <v>15088.36</v>
      </c>
      <c r="H10" s="21" t="n">
        <v>25898.11</v>
      </c>
      <c r="I10" s="21" t="n">
        <v>30027.06</v>
      </c>
      <c r="J10" s="21" t="n">
        <v>25898.11</v>
      </c>
      <c r="K10" s="21" t="n">
        <v>15088.36</v>
      </c>
      <c r="L10" s="21" t="n">
        <v>0</v>
      </c>
      <c r="M10" s="21" t="n">
        <v>0</v>
      </c>
      <c r="N10" s="21" t="n">
        <v>0</v>
      </c>
      <c r="O10" s="21" t="n">
        <v>0</v>
      </c>
      <c r="P10" s="20" t="n">
        <v>112000</v>
      </c>
    </row>
    <row r="11" customFormat="false" ht="18" hidden="false" customHeight="true" outlineLevel="0" collapsed="false">
      <c r="B11" s="19" t="s">
        <v>66</v>
      </c>
      <c r="C11" s="19" t="s">
        <v>67</v>
      </c>
      <c r="D11" s="21" t="n">
        <v>0</v>
      </c>
      <c r="E11" s="21" t="n">
        <v>14050.21</v>
      </c>
      <c r="F11" s="21" t="n">
        <v>21273.64</v>
      </c>
      <c r="G11" s="21" t="n">
        <v>27606.92</v>
      </c>
      <c r="H11" s="21" t="n">
        <v>32536.97</v>
      </c>
      <c r="I11" s="21" t="n">
        <v>35664.37</v>
      </c>
      <c r="J11" s="21" t="n">
        <v>36735.77</v>
      </c>
      <c r="K11" s="21" t="n">
        <v>35664.37</v>
      </c>
      <c r="L11" s="21" t="n">
        <v>32536.97</v>
      </c>
      <c r="M11" s="21" t="n">
        <v>27606.92</v>
      </c>
      <c r="N11" s="21" t="n">
        <v>21273.64</v>
      </c>
      <c r="O11" s="21" t="n">
        <v>14050.21</v>
      </c>
      <c r="P11" s="20" t="n">
        <v>298999.99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15" min="4" style="1" width="10"/>
    <col collapsed="false" customWidth="true" hidden="false" outlineLevel="0" max="16" min="16" style="1" width="16"/>
  </cols>
  <sheetData>
    <row r="2" customFormat="false" ht="18" hidden="false" customHeight="true" outlineLevel="0" collapsed="false">
      <c r="B2" s="17" t="s">
        <v>85</v>
      </c>
    </row>
    <row r="3" customFormat="false" ht="15" hidden="false" customHeight="true" outlineLevel="0" collapsed="false">
      <c r="B3" s="3" t="s">
        <v>86</v>
      </c>
    </row>
    <row r="5" customFormat="false" ht="27.75" hidden="false" customHeight="true" outlineLevel="0" collapsed="false">
      <c r="B5" s="18" t="s">
        <v>35</v>
      </c>
      <c r="C5" s="18" t="s">
        <v>36</v>
      </c>
      <c r="D5" s="18" t="s">
        <v>72</v>
      </c>
      <c r="E5" s="18" t="s">
        <v>73</v>
      </c>
      <c r="F5" s="18" t="s">
        <v>74</v>
      </c>
      <c r="G5" s="18" t="s">
        <v>75</v>
      </c>
      <c r="H5" s="18" t="s">
        <v>76</v>
      </c>
      <c r="I5" s="18" t="s">
        <v>77</v>
      </c>
      <c r="J5" s="18" t="s">
        <v>78</v>
      </c>
      <c r="K5" s="18" t="s">
        <v>79</v>
      </c>
      <c r="L5" s="18" t="s">
        <v>80</v>
      </c>
      <c r="M5" s="18" t="s">
        <v>81</v>
      </c>
      <c r="N5" s="18" t="s">
        <v>82</v>
      </c>
      <c r="O5" s="18" t="s">
        <v>83</v>
      </c>
      <c r="P5" s="18" t="s">
        <v>87</v>
      </c>
    </row>
    <row r="6" customFormat="false" ht="18" hidden="false" customHeight="true" outlineLevel="0" collapsed="false">
      <c r="B6" s="19" t="s">
        <v>42</v>
      </c>
      <c r="C6" s="19" t="s">
        <v>43</v>
      </c>
      <c r="D6" s="21" t="n">
        <v>26216.47</v>
      </c>
      <c r="E6" s="21" t="n">
        <v>40451.32</v>
      </c>
      <c r="F6" s="21" t="n">
        <v>51813.77</v>
      </c>
      <c r="G6" s="21" t="n">
        <v>61628.47</v>
      </c>
      <c r="H6" s="21" t="n">
        <v>57404.54</v>
      </c>
      <c r="I6" s="21" t="n">
        <v>53067.79</v>
      </c>
      <c r="J6" s="21" t="n">
        <v>41406.37</v>
      </c>
      <c r="K6" s="21" t="n">
        <v>25738.47</v>
      </c>
      <c r="L6" s="21" t="n">
        <v>0</v>
      </c>
      <c r="M6" s="21" t="n">
        <v>0</v>
      </c>
      <c r="N6" s="21" t="n">
        <v>0</v>
      </c>
      <c r="O6" s="21" t="n">
        <v>0</v>
      </c>
      <c r="P6" s="20" t="n">
        <v>357727.2</v>
      </c>
    </row>
    <row r="7" customFormat="false" ht="18" hidden="false" customHeight="true" outlineLevel="0" collapsed="false">
      <c r="B7" s="19" t="s">
        <v>48</v>
      </c>
      <c r="C7" s="19" t="s">
        <v>49</v>
      </c>
      <c r="D7" s="21" t="n">
        <v>0</v>
      </c>
      <c r="E7" s="21" t="n">
        <v>15170.32</v>
      </c>
      <c r="F7" s="21" t="n">
        <v>25768.81</v>
      </c>
      <c r="G7" s="21" t="n">
        <v>32869.13</v>
      </c>
      <c r="H7" s="21" t="n">
        <v>38183.74</v>
      </c>
      <c r="I7" s="21" t="n">
        <v>35148.67</v>
      </c>
      <c r="J7" s="21" t="n">
        <v>34369.69</v>
      </c>
      <c r="K7" s="21" t="n">
        <v>24603.9</v>
      </c>
      <c r="L7" s="21" t="n">
        <v>0</v>
      </c>
      <c r="M7" s="21" t="n">
        <v>0</v>
      </c>
      <c r="N7" s="21" t="n">
        <v>0</v>
      </c>
      <c r="O7" s="21" t="n">
        <v>0</v>
      </c>
      <c r="P7" s="20" t="n">
        <v>206114.26</v>
      </c>
    </row>
    <row r="8" customFormat="false" ht="18" hidden="false" customHeight="true" outlineLevel="0" collapsed="false">
      <c r="B8" s="19" t="s">
        <v>53</v>
      </c>
      <c r="C8" s="19" t="s">
        <v>54</v>
      </c>
      <c r="D8" s="21" t="n">
        <v>23461</v>
      </c>
      <c r="E8" s="21" t="n">
        <v>34468.57</v>
      </c>
      <c r="F8" s="21" t="n">
        <v>46197.83</v>
      </c>
      <c r="G8" s="21" t="n">
        <v>51008.82</v>
      </c>
      <c r="H8" s="21" t="n">
        <v>56712.07</v>
      </c>
      <c r="I8" s="21" t="n">
        <v>57022.21</v>
      </c>
      <c r="J8" s="21" t="n">
        <v>59352.29</v>
      </c>
      <c r="K8" s="21" t="n">
        <v>52858.36</v>
      </c>
      <c r="L8" s="21" t="n">
        <v>0</v>
      </c>
      <c r="M8" s="21" t="n">
        <v>0</v>
      </c>
      <c r="N8" s="21" t="n">
        <v>0</v>
      </c>
      <c r="O8" s="21" t="n">
        <v>0</v>
      </c>
      <c r="P8" s="20" t="n">
        <v>381081.15</v>
      </c>
    </row>
    <row r="9" customFormat="false" ht="18" hidden="false" customHeight="true" outlineLevel="0" collapsed="false">
      <c r="B9" s="19" t="s">
        <v>58</v>
      </c>
      <c r="C9" s="19" t="s">
        <v>59</v>
      </c>
      <c r="D9" s="21" t="n">
        <v>0</v>
      </c>
      <c r="E9" s="21" t="n">
        <v>0</v>
      </c>
      <c r="F9" s="21" t="n">
        <v>13060.06</v>
      </c>
      <c r="G9" s="21" t="n">
        <v>21092.87</v>
      </c>
      <c r="H9" s="21" t="n">
        <v>26943.19</v>
      </c>
      <c r="I9" s="21" t="n">
        <v>30615.97</v>
      </c>
      <c r="J9" s="21" t="n">
        <v>31752.13</v>
      </c>
      <c r="K9" s="21" t="n">
        <v>27946.26</v>
      </c>
      <c r="L9" s="21" t="n">
        <v>0</v>
      </c>
      <c r="M9" s="21" t="n">
        <v>0</v>
      </c>
      <c r="N9" s="21" t="n">
        <v>0</v>
      </c>
      <c r="O9" s="21" t="n">
        <v>0</v>
      </c>
      <c r="P9" s="20" t="n">
        <v>151410.48</v>
      </c>
    </row>
    <row r="10" customFormat="false" ht="18" hidden="false" customHeight="true" outlineLevel="0" collapsed="false">
      <c r="B10" s="19" t="s">
        <v>62</v>
      </c>
      <c r="C10" s="19" t="s">
        <v>63</v>
      </c>
      <c r="D10" s="21" t="n">
        <v>0</v>
      </c>
      <c r="E10" s="21" t="n">
        <v>0</v>
      </c>
      <c r="F10" s="21" t="n">
        <v>0</v>
      </c>
      <c r="G10" s="21" t="n">
        <v>15242.59</v>
      </c>
      <c r="H10" s="21" t="n">
        <v>24552.8</v>
      </c>
      <c r="I10" s="21" t="n">
        <v>30735.97</v>
      </c>
      <c r="J10" s="21" t="n">
        <v>26875.15</v>
      </c>
      <c r="K10" s="21" t="n">
        <v>15295.53</v>
      </c>
      <c r="L10" s="21" t="n">
        <v>0</v>
      </c>
      <c r="M10" s="21" t="n">
        <v>0</v>
      </c>
      <c r="N10" s="21" t="n">
        <v>0</v>
      </c>
      <c r="O10" s="21" t="n">
        <v>0</v>
      </c>
      <c r="P10" s="20" t="n">
        <v>112702.04</v>
      </c>
    </row>
    <row r="11" customFormat="false" ht="18" hidden="false" customHeight="true" outlineLevel="0" collapsed="false">
      <c r="B11" s="19" t="s">
        <v>66</v>
      </c>
      <c r="C11" s="19" t="s">
        <v>67</v>
      </c>
      <c r="D11" s="21" t="n">
        <v>0</v>
      </c>
      <c r="E11" s="21" t="n">
        <v>16982.35</v>
      </c>
      <c r="F11" s="21" t="n">
        <v>25980.85</v>
      </c>
      <c r="G11" s="21" t="n">
        <v>31256.58</v>
      </c>
      <c r="H11" s="21" t="n">
        <v>38244.8</v>
      </c>
      <c r="I11" s="21" t="n">
        <v>40313.62</v>
      </c>
      <c r="J11" s="21" t="n">
        <v>44568.76</v>
      </c>
      <c r="K11" s="21" t="n">
        <v>42243.77</v>
      </c>
      <c r="L11" s="21" t="n">
        <v>0</v>
      </c>
      <c r="M11" s="21" t="n">
        <v>0</v>
      </c>
      <c r="N11" s="21" t="n">
        <v>0</v>
      </c>
      <c r="O11" s="21" t="n">
        <v>0</v>
      </c>
      <c r="P11" s="20" t="n">
        <v>239590.73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44"/>
  </cols>
  <sheetData>
    <row r="2" customFormat="false" ht="18" hidden="false" customHeight="true" outlineLevel="0" collapsed="false">
      <c r="B2" s="17" t="s">
        <v>88</v>
      </c>
    </row>
    <row r="3" customFormat="false" ht="15" hidden="false" customHeight="true" outlineLevel="0" collapsed="false">
      <c r="B3" s="3" t="s">
        <v>89</v>
      </c>
    </row>
    <row r="5" customFormat="false" ht="27.75" hidden="false" customHeight="true" outlineLevel="0" collapsed="false">
      <c r="B5" s="18" t="s">
        <v>35</v>
      </c>
      <c r="C5" s="18" t="s">
        <v>36</v>
      </c>
      <c r="D5" s="18" t="s">
        <v>90</v>
      </c>
      <c r="E5" s="18" t="s">
        <v>91</v>
      </c>
    </row>
    <row r="6" customFormat="false" ht="18" hidden="false" customHeight="true" outlineLevel="0" collapsed="false">
      <c r="B6" s="19" t="s">
        <v>42</v>
      </c>
      <c r="C6" s="19" t="s">
        <v>43</v>
      </c>
      <c r="D6" s="20" t="n">
        <v>18500</v>
      </c>
      <c r="E6" s="19" t="s">
        <v>92</v>
      </c>
    </row>
    <row r="7" customFormat="false" ht="18" hidden="false" customHeight="true" outlineLevel="0" collapsed="false">
      <c r="B7" s="19" t="s">
        <v>48</v>
      </c>
      <c r="C7" s="19" t="s">
        <v>49</v>
      </c>
      <c r="D7" s="20" t="n">
        <v>9200</v>
      </c>
      <c r="E7" s="19" t="s">
        <v>93</v>
      </c>
    </row>
    <row r="8" customFormat="false" ht="18" hidden="false" customHeight="true" outlineLevel="0" collapsed="false">
      <c r="B8" s="19" t="s">
        <v>53</v>
      </c>
      <c r="C8" s="19" t="s">
        <v>54</v>
      </c>
      <c r="D8" s="20" t="n">
        <v>86500</v>
      </c>
      <c r="E8" s="19" t="s">
        <v>94</v>
      </c>
    </row>
    <row r="9" customFormat="false" ht="18" hidden="false" customHeight="true" outlineLevel="0" collapsed="false">
      <c r="B9" s="19" t="s">
        <v>58</v>
      </c>
      <c r="C9" s="19" t="s">
        <v>59</v>
      </c>
      <c r="D9" s="20" t="n">
        <v>21000</v>
      </c>
      <c r="E9" s="19" t="s">
        <v>95</v>
      </c>
    </row>
    <row r="10" customFormat="false" ht="18" hidden="false" customHeight="true" outlineLevel="0" collapsed="false">
      <c r="B10" s="19" t="s">
        <v>62</v>
      </c>
      <c r="C10" s="19" t="s">
        <v>63</v>
      </c>
      <c r="D10" s="20" t="n">
        <v>0</v>
      </c>
      <c r="E10" s="19" t="s">
        <v>96</v>
      </c>
    </row>
    <row r="11" customFormat="false" ht="18" hidden="false" customHeight="true" outlineLevel="0" collapsed="false">
      <c r="B11" s="19" t="s">
        <v>66</v>
      </c>
      <c r="C11" s="19" t="s">
        <v>67</v>
      </c>
      <c r="D11" s="20" t="n">
        <v>41800</v>
      </c>
      <c r="E11" s="19" t="s">
        <v>97</v>
      </c>
    </row>
    <row r="12" customFormat="false" ht="15" hidden="false" customHeight="true" outlineLevel="0" collapsed="false">
      <c r="C12" s="22" t="s">
        <v>98</v>
      </c>
      <c r="D12" s="23" t="n">
        <f aca="false">SUM(D6:D11)</f>
        <v>177000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32"/>
    <col collapsed="false" customWidth="true" hidden="false" outlineLevel="0" max="7" min="5" style="1" width="14"/>
    <col collapsed="false" customWidth="true" hidden="false" outlineLevel="0" max="8" min="8" style="1" width="13"/>
    <col collapsed="false" customWidth="true" hidden="false" outlineLevel="0" max="9" min="9" style="1" width="11"/>
  </cols>
  <sheetData>
    <row r="2" customFormat="false" ht="18" hidden="false" customHeight="true" outlineLevel="0" collapsed="false">
      <c r="B2" s="17" t="s">
        <v>99</v>
      </c>
    </row>
    <row r="3" customFormat="false" ht="15" hidden="false" customHeight="true" outlineLevel="0" collapsed="false">
      <c r="B3" s="3" t="s">
        <v>100</v>
      </c>
    </row>
    <row r="5" customFormat="false" ht="27.75" hidden="false" customHeight="true" outlineLevel="0" collapsed="false">
      <c r="B5" s="18" t="s">
        <v>35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8" t="s">
        <v>106</v>
      </c>
      <c r="I5" s="18" t="s">
        <v>107</v>
      </c>
    </row>
    <row r="6" customFormat="false" ht="15.75" hidden="false" customHeight="true" outlineLevel="0" collapsed="false">
      <c r="B6" s="19" t="s">
        <v>42</v>
      </c>
      <c r="C6" s="19" t="s">
        <v>108</v>
      </c>
      <c r="D6" s="19" t="s">
        <v>109</v>
      </c>
      <c r="E6" s="19" t="s">
        <v>110</v>
      </c>
      <c r="F6" s="19" t="s">
        <v>110</v>
      </c>
      <c r="G6" s="19" t="s">
        <v>110</v>
      </c>
      <c r="H6" s="19" t="s">
        <v>111</v>
      </c>
      <c r="I6" s="24" t="n">
        <f aca="false">IF(OR(E6="",F6=""),"",DATEDIF(DATEVALUE(E6),DATEVALUE(F6),"d"))</f>
        <v>0</v>
      </c>
    </row>
    <row r="7" customFormat="false" ht="15.75" hidden="false" customHeight="true" outlineLevel="0" collapsed="false">
      <c r="B7" s="19" t="s">
        <v>42</v>
      </c>
      <c r="C7" s="19" t="s">
        <v>112</v>
      </c>
      <c r="D7" s="19" t="s">
        <v>113</v>
      </c>
      <c r="E7" s="19" t="s">
        <v>114</v>
      </c>
      <c r="F7" s="19" t="s">
        <v>115</v>
      </c>
      <c r="G7" s="19" t="s">
        <v>115</v>
      </c>
      <c r="H7" s="19" t="s">
        <v>116</v>
      </c>
      <c r="I7" s="24" t="n">
        <f aca="false">IF(OR(E7="",F7=""),"",DATEDIF(DATEVALUE(E7),DATEVALUE(F7),"d"))</f>
        <v>7</v>
      </c>
    </row>
    <row r="8" customFormat="false" ht="15.75" hidden="false" customHeight="true" outlineLevel="0" collapsed="false">
      <c r="B8" s="19" t="s">
        <v>42</v>
      </c>
      <c r="C8" s="19" t="s">
        <v>117</v>
      </c>
      <c r="D8" s="19" t="s">
        <v>118</v>
      </c>
      <c r="E8" s="19" t="s">
        <v>119</v>
      </c>
      <c r="F8" s="19" t="s">
        <v>120</v>
      </c>
      <c r="G8" s="19" t="s">
        <v>120</v>
      </c>
      <c r="H8" s="19" t="s">
        <v>116</v>
      </c>
      <c r="I8" s="24" t="n">
        <f aca="false">IF(OR(E8="",F8=""),"",DATEDIF(DATEVALUE(E8),DATEVALUE(F8),"d"))</f>
        <v>7</v>
      </c>
    </row>
    <row r="9" customFormat="false" ht="15.75" hidden="false" customHeight="true" outlineLevel="0" collapsed="false">
      <c r="B9" s="19" t="s">
        <v>42</v>
      </c>
      <c r="C9" s="19" t="s">
        <v>121</v>
      </c>
      <c r="D9" s="19" t="s">
        <v>122</v>
      </c>
      <c r="E9" s="19" t="s">
        <v>46</v>
      </c>
      <c r="F9" s="19" t="s">
        <v>46</v>
      </c>
      <c r="G9" s="19"/>
      <c r="H9" s="19" t="s">
        <v>123</v>
      </c>
      <c r="I9" s="24" t="n">
        <f aca="false">IF(OR(E9="",F9=""),"",DATEDIF(DATEVALUE(E9),DATEVALUE(F9),"d"))</f>
        <v>0</v>
      </c>
    </row>
    <row r="10" customFormat="false" ht="15.75" hidden="false" customHeight="true" outlineLevel="0" collapsed="false">
      <c r="B10" s="19" t="s">
        <v>48</v>
      </c>
      <c r="C10" s="19" t="s">
        <v>108</v>
      </c>
      <c r="D10" s="19" t="s">
        <v>124</v>
      </c>
      <c r="E10" s="19" t="s">
        <v>125</v>
      </c>
      <c r="F10" s="19" t="s">
        <v>126</v>
      </c>
      <c r="G10" s="19" t="s">
        <v>126</v>
      </c>
      <c r="H10" s="19" t="s">
        <v>116</v>
      </c>
      <c r="I10" s="24" t="n">
        <f aca="false">IF(OR(E10="",F10=""),"",DATEDIF(DATEVALUE(E10),DATEVALUE(F10),"d"))</f>
        <v>14</v>
      </c>
    </row>
    <row r="11" customFormat="false" ht="15.75" hidden="false" customHeight="true" outlineLevel="0" collapsed="false">
      <c r="B11" s="19" t="s">
        <v>48</v>
      </c>
      <c r="C11" s="19" t="s">
        <v>112</v>
      </c>
      <c r="D11" s="19" t="s">
        <v>127</v>
      </c>
      <c r="E11" s="19" t="s">
        <v>128</v>
      </c>
      <c r="F11" s="19" t="s">
        <v>129</v>
      </c>
      <c r="G11" s="19" t="s">
        <v>129</v>
      </c>
      <c r="H11" s="19" t="s">
        <v>116</v>
      </c>
      <c r="I11" s="24" t="n">
        <f aca="false">IF(OR(E11="",F11=""),"",DATEDIF(DATEVALUE(E11),DATEVALUE(F11),"d"))</f>
        <v>28</v>
      </c>
    </row>
    <row r="12" customFormat="false" ht="15.75" hidden="false" customHeight="true" outlineLevel="0" collapsed="false">
      <c r="B12" s="19" t="s">
        <v>48</v>
      </c>
      <c r="C12" s="19" t="s">
        <v>117</v>
      </c>
      <c r="D12" s="19" t="s">
        <v>130</v>
      </c>
      <c r="E12" s="19" t="s">
        <v>52</v>
      </c>
      <c r="F12" s="19" t="s">
        <v>131</v>
      </c>
      <c r="G12" s="19"/>
      <c r="H12" s="19" t="s">
        <v>132</v>
      </c>
      <c r="I12" s="24" t="n">
        <f aca="false">IF(OR(E12="",F12=""),"",DATEDIF(DATEVALUE(E12),DATEVALUE(F12),"d"))</f>
        <v>16</v>
      </c>
    </row>
    <row r="13" customFormat="false" ht="15.75" hidden="false" customHeight="true" outlineLevel="0" collapsed="false">
      <c r="B13" s="19" t="s">
        <v>53</v>
      </c>
      <c r="C13" s="19" t="s">
        <v>108</v>
      </c>
      <c r="D13" s="19" t="s">
        <v>133</v>
      </c>
      <c r="E13" s="19" t="s">
        <v>134</v>
      </c>
      <c r="F13" s="19" t="s">
        <v>134</v>
      </c>
      <c r="G13" s="19" t="s">
        <v>134</v>
      </c>
      <c r="H13" s="19" t="s">
        <v>111</v>
      </c>
      <c r="I13" s="24" t="n">
        <f aca="false">IF(OR(E13="",F13=""),"",DATEDIF(DATEVALUE(E13),DATEVALUE(F13),"d"))</f>
        <v>0</v>
      </c>
    </row>
    <row r="14" customFormat="false" ht="15.75" hidden="false" customHeight="true" outlineLevel="0" collapsed="false">
      <c r="B14" s="19" t="s">
        <v>53</v>
      </c>
      <c r="C14" s="19" t="s">
        <v>112</v>
      </c>
      <c r="D14" s="19" t="s">
        <v>135</v>
      </c>
      <c r="E14" s="19" t="s">
        <v>136</v>
      </c>
      <c r="F14" s="19" t="s">
        <v>119</v>
      </c>
      <c r="G14" s="19" t="s">
        <v>119</v>
      </c>
      <c r="H14" s="19" t="s">
        <v>116</v>
      </c>
      <c r="I14" s="24" t="n">
        <f aca="false">IF(OR(E14="",F14=""),"",DATEDIF(DATEVALUE(E14),DATEVALUE(F14),"d"))</f>
        <v>24</v>
      </c>
    </row>
    <row r="15" customFormat="false" ht="15.75" hidden="false" customHeight="true" outlineLevel="0" collapsed="false">
      <c r="B15" s="19" t="s">
        <v>53</v>
      </c>
      <c r="C15" s="19" t="s">
        <v>117</v>
      </c>
      <c r="D15" s="19" t="s">
        <v>118</v>
      </c>
      <c r="E15" s="19" t="s">
        <v>137</v>
      </c>
      <c r="F15" s="19" t="s">
        <v>138</v>
      </c>
      <c r="G15" s="19"/>
      <c r="H15" s="19" t="s">
        <v>132</v>
      </c>
      <c r="I15" s="24" t="n">
        <f aca="false">IF(OR(E15="",F15=""),"",DATEDIF(DATEVALUE(E15),DATEVALUE(F15),"d"))</f>
        <v>28</v>
      </c>
    </row>
    <row r="16" customFormat="false" ht="15.75" hidden="false" customHeight="true" outlineLevel="0" collapsed="false">
      <c r="B16" s="19" t="s">
        <v>53</v>
      </c>
      <c r="C16" s="19" t="s">
        <v>121</v>
      </c>
      <c r="D16" s="19" t="s">
        <v>122</v>
      </c>
      <c r="E16" s="19" t="s">
        <v>56</v>
      </c>
      <c r="F16" s="19" t="s">
        <v>139</v>
      </c>
      <c r="G16" s="19"/>
      <c r="H16" s="19" t="s">
        <v>132</v>
      </c>
      <c r="I16" s="24" t="n">
        <f aca="false">IF(OR(E16="",F16=""),"",DATEDIF(DATEVALUE(E16),DATEVALUE(F16),"d"))</f>
        <v>28</v>
      </c>
    </row>
    <row r="17" customFormat="false" ht="15.75" hidden="false" customHeight="true" outlineLevel="0" collapsed="false">
      <c r="B17" s="19" t="s">
        <v>58</v>
      </c>
      <c r="C17" s="19" t="s">
        <v>108</v>
      </c>
      <c r="D17" s="19" t="s">
        <v>140</v>
      </c>
      <c r="E17" s="19" t="s">
        <v>141</v>
      </c>
      <c r="F17" s="19" t="s">
        <v>141</v>
      </c>
      <c r="G17" s="19" t="s">
        <v>141</v>
      </c>
      <c r="H17" s="19" t="s">
        <v>111</v>
      </c>
      <c r="I17" s="24" t="n">
        <f aca="false">IF(OR(E17="",F17=""),"",DATEDIF(DATEVALUE(E17),DATEVALUE(F17),"d"))</f>
        <v>0</v>
      </c>
    </row>
    <row r="18" customFormat="false" ht="15.75" hidden="false" customHeight="true" outlineLevel="0" collapsed="false">
      <c r="B18" s="19" t="s">
        <v>58</v>
      </c>
      <c r="C18" s="19" t="s">
        <v>112</v>
      </c>
      <c r="D18" s="19" t="s">
        <v>142</v>
      </c>
      <c r="E18" s="19" t="s">
        <v>65</v>
      </c>
      <c r="F18" s="19" t="s">
        <v>46</v>
      </c>
      <c r="G18" s="19"/>
      <c r="H18" s="19" t="s">
        <v>132</v>
      </c>
      <c r="I18" s="24" t="n">
        <f aca="false">IF(OR(E18="",F18=""),"",DATEDIF(DATEVALUE(E18),DATEVALUE(F18),"d"))</f>
        <v>14</v>
      </c>
    </row>
    <row r="19" customFormat="false" ht="15.75" hidden="false" customHeight="true" outlineLevel="0" collapsed="false">
      <c r="B19" s="19" t="s">
        <v>58</v>
      </c>
      <c r="C19" s="19" t="s">
        <v>117</v>
      </c>
      <c r="D19" s="19" t="s">
        <v>122</v>
      </c>
      <c r="E19" s="19" t="s">
        <v>61</v>
      </c>
      <c r="F19" s="19" t="s">
        <v>143</v>
      </c>
      <c r="G19" s="19"/>
      <c r="H19" s="19" t="s">
        <v>132</v>
      </c>
      <c r="I19" s="24" t="n">
        <f aca="false">IF(OR(E19="",F19=""),"",DATEDIF(DATEVALUE(E19),DATEVALUE(F19),"d"))</f>
        <v>15</v>
      </c>
    </row>
    <row r="20" customFormat="false" ht="15.75" hidden="false" customHeight="true" outlineLevel="0" collapsed="false">
      <c r="B20" s="19" t="s">
        <v>62</v>
      </c>
      <c r="C20" s="19" t="s">
        <v>108</v>
      </c>
      <c r="D20" s="19" t="s">
        <v>144</v>
      </c>
      <c r="E20" s="19" t="s">
        <v>145</v>
      </c>
      <c r="F20" s="19" t="s">
        <v>145</v>
      </c>
      <c r="G20" s="19" t="s">
        <v>145</v>
      </c>
      <c r="H20" s="19" t="s">
        <v>111</v>
      </c>
      <c r="I20" s="24" t="n">
        <f aca="false">IF(OR(E20="",F20=""),"",DATEDIF(DATEVALUE(E20),DATEVALUE(F20),"d"))</f>
        <v>0</v>
      </c>
    </row>
    <row r="21" customFormat="false" ht="15.75" hidden="false" customHeight="true" outlineLevel="0" collapsed="false">
      <c r="B21" s="19" t="s">
        <v>62</v>
      </c>
      <c r="C21" s="19" t="s">
        <v>112</v>
      </c>
      <c r="D21" s="19" t="s">
        <v>122</v>
      </c>
      <c r="E21" s="19" t="s">
        <v>65</v>
      </c>
      <c r="F21" s="19" t="s">
        <v>65</v>
      </c>
      <c r="G21" s="19" t="s">
        <v>65</v>
      </c>
      <c r="H21" s="19" t="s">
        <v>111</v>
      </c>
      <c r="I21" s="24" t="n">
        <f aca="false">IF(OR(E21="",F21=""),"",DATEDIF(DATEVALUE(E21),DATEVALUE(F21),"d"))</f>
        <v>0</v>
      </c>
    </row>
    <row r="22" customFormat="false" ht="15.75" hidden="false" customHeight="true" outlineLevel="0" collapsed="false">
      <c r="B22" s="19" t="s">
        <v>66</v>
      </c>
      <c r="C22" s="19" t="s">
        <v>108</v>
      </c>
      <c r="D22" s="19" t="s">
        <v>146</v>
      </c>
      <c r="E22" s="19" t="s">
        <v>147</v>
      </c>
      <c r="F22" s="19" t="s">
        <v>148</v>
      </c>
      <c r="G22" s="19" t="s">
        <v>148</v>
      </c>
      <c r="H22" s="19" t="s">
        <v>116</v>
      </c>
      <c r="I22" s="24" t="n">
        <f aca="false">IF(OR(E22="",F22=""),"",DATEDIF(DATEVALUE(E22),DATEVALUE(F22),"d"))</f>
        <v>14</v>
      </c>
    </row>
    <row r="23" customFormat="false" ht="15.75" hidden="false" customHeight="true" outlineLevel="0" collapsed="false">
      <c r="B23" s="19" t="s">
        <v>66</v>
      </c>
      <c r="C23" s="19" t="s">
        <v>112</v>
      </c>
      <c r="D23" s="19" t="s">
        <v>149</v>
      </c>
      <c r="E23" s="19" t="s">
        <v>150</v>
      </c>
      <c r="F23" s="19" t="s">
        <v>151</v>
      </c>
      <c r="G23" s="19" t="s">
        <v>151</v>
      </c>
      <c r="H23" s="19" t="s">
        <v>116</v>
      </c>
      <c r="I23" s="24" t="n">
        <f aca="false">IF(OR(E23="",F23=""),"",DATEDIF(DATEVALUE(E23),DATEVALUE(F23),"d"))</f>
        <v>35</v>
      </c>
    </row>
    <row r="24" customFormat="false" ht="15.75" hidden="false" customHeight="true" outlineLevel="0" collapsed="false">
      <c r="B24" s="19" t="s">
        <v>66</v>
      </c>
      <c r="C24" s="19" t="s">
        <v>117</v>
      </c>
      <c r="D24" s="19" t="s">
        <v>152</v>
      </c>
      <c r="E24" s="19" t="s">
        <v>153</v>
      </c>
      <c r="F24" s="19" t="s">
        <v>154</v>
      </c>
      <c r="G24" s="19"/>
      <c r="H24" s="19" t="s">
        <v>132</v>
      </c>
      <c r="I24" s="24" t="n">
        <f aca="false">IF(OR(E24="",F24=""),"",DATEDIF(DATEVALUE(E24),DATEVALUE(F24),"d"))</f>
        <v>35</v>
      </c>
    </row>
    <row r="25" customFormat="false" ht="15.75" hidden="false" customHeight="true" outlineLevel="0" collapsed="false">
      <c r="B25" s="19" t="s">
        <v>66</v>
      </c>
      <c r="C25" s="19" t="s">
        <v>121</v>
      </c>
      <c r="D25" s="19" t="s">
        <v>155</v>
      </c>
      <c r="E25" s="19" t="s">
        <v>69</v>
      </c>
      <c r="F25" s="19" t="s">
        <v>156</v>
      </c>
      <c r="G25" s="19"/>
      <c r="H25" s="19" t="s">
        <v>132</v>
      </c>
      <c r="I25" s="24" t="n">
        <f aca="false">IF(OR(E25="",F25=""),"",DATEDIF(DATEVALUE(E25),DATEVALUE(F25),"d"))</f>
        <v>42</v>
      </c>
    </row>
  </sheetData>
  <conditionalFormatting sqref="H6:H25">
    <cfRule type="cellIs" priority="2" operator="equal" aboveAverage="0" equalAverage="0" bottom="0" percent="0" rank="0" text="" dxfId="2">
      <formula>"At Risk"</formula>
    </cfRule>
    <cfRule type="cellIs" priority="3" operator="equal" aboveAverage="0" equalAverage="0" bottom="0" percent="0" rank="0" text="" dxfId="1">
      <formula>"Met"</formula>
    </cfRule>
  </conditionalFormatting>
  <conditionalFormatting sqref="I6:I25">
    <cfRule type="cellIs" priority="4" operator="greaterThan" aboveAverage="0" equalAverage="0" bottom="0" percent="0" rank="0" text="" dxfId="0">
      <formula>20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4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9"/>
    <col collapsed="false" customWidth="true" hidden="false" outlineLevel="0" max="8" min="8" style="1" width="46"/>
  </cols>
  <sheetData>
    <row r="2" customFormat="false" ht="18" hidden="false" customHeight="true" outlineLevel="0" collapsed="false">
      <c r="B2" s="17" t="s">
        <v>157</v>
      </c>
    </row>
    <row r="3" customFormat="false" ht="15" hidden="false" customHeight="true" outlineLevel="0" collapsed="false">
      <c r="B3" s="3" t="s">
        <v>158</v>
      </c>
    </row>
    <row r="5" customFormat="false" ht="27.75" hidden="false" customHeight="true" outlineLevel="0" collapsed="false">
      <c r="B5" s="18" t="s">
        <v>35</v>
      </c>
      <c r="C5" s="18" t="s">
        <v>159</v>
      </c>
      <c r="D5" s="18" t="s">
        <v>160</v>
      </c>
      <c r="E5" s="18" t="s">
        <v>161</v>
      </c>
      <c r="F5" s="18" t="s">
        <v>162</v>
      </c>
      <c r="G5" s="18" t="s">
        <v>163</v>
      </c>
      <c r="H5" s="18" t="s">
        <v>164</v>
      </c>
    </row>
    <row r="6" customFormat="false" ht="30" hidden="false" customHeight="true" outlineLevel="0" collapsed="false">
      <c r="B6" s="19" t="s">
        <v>42</v>
      </c>
      <c r="C6" s="19" t="s">
        <v>165</v>
      </c>
      <c r="D6" s="19" t="s">
        <v>166</v>
      </c>
      <c r="E6" s="19" t="s">
        <v>167</v>
      </c>
      <c r="F6" s="19" t="s">
        <v>168</v>
      </c>
      <c r="G6" s="19" t="s">
        <v>169</v>
      </c>
      <c r="H6" s="19" t="s">
        <v>170</v>
      </c>
    </row>
    <row r="7" customFormat="false" ht="30" hidden="false" customHeight="true" outlineLevel="0" collapsed="false">
      <c r="B7" s="19" t="s">
        <v>48</v>
      </c>
      <c r="C7" s="19" t="s">
        <v>171</v>
      </c>
      <c r="D7" s="19" t="s">
        <v>172</v>
      </c>
      <c r="E7" s="19" t="s">
        <v>173</v>
      </c>
      <c r="F7" s="19" t="s">
        <v>173</v>
      </c>
      <c r="G7" s="19" t="s">
        <v>174</v>
      </c>
      <c r="H7" s="19" t="s">
        <v>175</v>
      </c>
    </row>
    <row r="8" customFormat="false" ht="30" hidden="false" customHeight="true" outlineLevel="0" collapsed="false">
      <c r="B8" s="19" t="s">
        <v>53</v>
      </c>
      <c r="C8" s="19" t="s">
        <v>176</v>
      </c>
      <c r="D8" s="19" t="s">
        <v>177</v>
      </c>
      <c r="E8" s="19" t="s">
        <v>178</v>
      </c>
      <c r="F8" s="19" t="s">
        <v>179</v>
      </c>
      <c r="G8" s="19" t="s">
        <v>169</v>
      </c>
      <c r="H8" s="19" t="s">
        <v>180</v>
      </c>
    </row>
    <row r="9" customFormat="false" ht="30" hidden="false" customHeight="true" outlineLevel="0" collapsed="false">
      <c r="B9" s="19" t="s">
        <v>58</v>
      </c>
      <c r="C9" s="19" t="s">
        <v>181</v>
      </c>
      <c r="D9" s="19" t="s">
        <v>182</v>
      </c>
      <c r="E9" s="19" t="s">
        <v>183</v>
      </c>
      <c r="F9" s="19" t="s">
        <v>183</v>
      </c>
      <c r="G9" s="19" t="s">
        <v>174</v>
      </c>
      <c r="H9" s="19" t="s">
        <v>184</v>
      </c>
    </row>
    <row r="10" customFormat="false" ht="30" hidden="false" customHeight="true" outlineLevel="0" collapsed="false">
      <c r="B10" s="19" t="s">
        <v>62</v>
      </c>
      <c r="C10" s="19" t="s">
        <v>185</v>
      </c>
      <c r="D10" s="19" t="s">
        <v>186</v>
      </c>
      <c r="E10" s="19" t="s">
        <v>187</v>
      </c>
      <c r="F10" s="19" t="s">
        <v>188</v>
      </c>
      <c r="G10" s="19" t="s">
        <v>174</v>
      </c>
      <c r="H10" s="19" t="s">
        <v>189</v>
      </c>
    </row>
    <row r="11" customFormat="false" ht="30" hidden="false" customHeight="true" outlineLevel="0" collapsed="false">
      <c r="B11" s="19" t="s">
        <v>66</v>
      </c>
      <c r="C11" s="19" t="s">
        <v>190</v>
      </c>
      <c r="D11" s="19" t="s">
        <v>191</v>
      </c>
      <c r="E11" s="19" t="s">
        <v>192</v>
      </c>
      <c r="F11" s="19" t="s">
        <v>193</v>
      </c>
      <c r="G11" s="19" t="s">
        <v>194</v>
      </c>
      <c r="H11" s="19" t="s">
        <v>195</v>
      </c>
    </row>
    <row r="12" customFormat="false" ht="30" hidden="false" customHeight="true" outlineLevel="0" collapsed="false">
      <c r="B12" s="19" t="s">
        <v>42</v>
      </c>
      <c r="C12" s="19" t="s">
        <v>196</v>
      </c>
      <c r="D12" s="19" t="s">
        <v>197</v>
      </c>
      <c r="E12" s="19" t="s">
        <v>198</v>
      </c>
      <c r="F12" s="19" t="s">
        <v>199</v>
      </c>
      <c r="G12" s="19" t="s">
        <v>200</v>
      </c>
      <c r="H12" s="19" t="s">
        <v>201</v>
      </c>
    </row>
  </sheetData>
  <conditionalFormatting sqref="G6:G12">
    <cfRule type="cellIs" priority="2" operator="equal" aboveAverage="0" equalAverage="0" bottom="0" percent="0" rank="0" text="" dxfId="1">
      <formula>"Green"</formula>
    </cfRule>
    <cfRule type="cellIs" priority="3" operator="equal" aboveAverage="0" equalAverage="0" bottom="0" percent="0" rank="0" text="" dxfId="2">
      <formula>"Amber"</formula>
    </cfRule>
    <cfRule type="cellIs" priority="4" operator="equal" aboveAverage="0" equalAverage="0" bottom="0" percent="0" rank="0" text="" dxfId="0">
      <formula>"Red"</formula>
    </cfRule>
    <cfRule type="cellIs" priority="5" operator="equal" aboveAverage="0" equalAverage="0" bottom="0" percent="0" rank="0" text="" dxfId="4">
      <formula>"Grey"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4" min="3" style="1" width="20"/>
    <col collapsed="false" customWidth="true" hidden="false" outlineLevel="0" max="5" min="5" style="1" width="22"/>
    <col collapsed="false" customWidth="true" hidden="false" outlineLevel="0" max="6" min="6" style="1" width="44"/>
  </cols>
  <sheetData>
    <row r="2" customFormat="false" ht="18" hidden="false" customHeight="true" outlineLevel="0" collapsed="false">
      <c r="B2" s="17" t="s">
        <v>202</v>
      </c>
    </row>
    <row r="3" customFormat="false" ht="15" hidden="false" customHeight="true" outlineLevel="0" collapsed="false">
      <c r="B3" s="3" t="s">
        <v>203</v>
      </c>
    </row>
    <row r="5" customFormat="false" ht="27.75" hidden="false" customHeight="true" outlineLevel="0" collapsed="false">
      <c r="B5" s="18" t="s">
        <v>35</v>
      </c>
      <c r="C5" s="18" t="s">
        <v>204</v>
      </c>
      <c r="D5" s="18" t="s">
        <v>205</v>
      </c>
      <c r="E5" s="18" t="s">
        <v>206</v>
      </c>
      <c r="F5" s="18" t="s">
        <v>207</v>
      </c>
    </row>
    <row r="6" customFormat="false" ht="19.5" hidden="false" customHeight="true" outlineLevel="0" collapsed="false">
      <c r="B6" s="19" t="s">
        <v>42</v>
      </c>
      <c r="C6" s="19" t="s">
        <v>174</v>
      </c>
      <c r="D6" s="24" t="s">
        <v>174</v>
      </c>
      <c r="E6" s="19" t="s">
        <v>169</v>
      </c>
      <c r="F6" s="19" t="s">
        <v>208</v>
      </c>
    </row>
    <row r="7" customFormat="false" ht="19.5" hidden="false" customHeight="true" outlineLevel="0" collapsed="false">
      <c r="B7" s="19" t="s">
        <v>48</v>
      </c>
      <c r="C7" s="19" t="s">
        <v>169</v>
      </c>
      <c r="D7" s="24" t="s">
        <v>169</v>
      </c>
      <c r="E7" s="19" t="s">
        <v>169</v>
      </c>
      <c r="F7" s="19" t="s">
        <v>209</v>
      </c>
    </row>
    <row r="8" customFormat="false" ht="19.5" hidden="false" customHeight="true" outlineLevel="0" collapsed="false">
      <c r="B8" s="19" t="s">
        <v>53</v>
      </c>
      <c r="C8" s="19" t="s">
        <v>174</v>
      </c>
      <c r="D8" s="24" t="s">
        <v>174</v>
      </c>
      <c r="E8" s="19" t="s">
        <v>174</v>
      </c>
      <c r="F8" s="19" t="s">
        <v>210</v>
      </c>
    </row>
    <row r="9" customFormat="false" ht="19.5" hidden="false" customHeight="true" outlineLevel="0" collapsed="false">
      <c r="B9" s="19" t="s">
        <v>58</v>
      </c>
      <c r="C9" s="19" t="s">
        <v>169</v>
      </c>
      <c r="D9" s="24" t="s">
        <v>174</v>
      </c>
      <c r="E9" s="19" t="s">
        <v>169</v>
      </c>
      <c r="F9" s="19" t="s">
        <v>211</v>
      </c>
    </row>
    <row r="10" customFormat="false" ht="19.5" hidden="false" customHeight="true" outlineLevel="0" collapsed="false">
      <c r="B10" s="19" t="s">
        <v>62</v>
      </c>
      <c r="C10" s="19" t="s">
        <v>174</v>
      </c>
      <c r="D10" s="24" t="s">
        <v>174</v>
      </c>
      <c r="E10" s="19" t="s">
        <v>174</v>
      </c>
      <c r="F10" s="19" t="s">
        <v>212</v>
      </c>
    </row>
    <row r="11" customFormat="false" ht="19.5" hidden="false" customHeight="true" outlineLevel="0" collapsed="false">
      <c r="B11" s="19" t="s">
        <v>66</v>
      </c>
      <c r="C11" s="19" t="s">
        <v>169</v>
      </c>
      <c r="D11" s="24" t="s">
        <v>169</v>
      </c>
      <c r="E11" s="19" t="s">
        <v>200</v>
      </c>
      <c r="F11" s="19" t="s">
        <v>213</v>
      </c>
    </row>
  </sheetData>
  <conditionalFormatting sqref="C6:C11">
    <cfRule type="cellIs" priority="2" operator="equal" aboveAverage="0" equalAverage="0" bottom="0" percent="0" rank="0" text="" dxfId="1">
      <formula>"Green"</formula>
    </cfRule>
    <cfRule type="cellIs" priority="3" operator="equal" aboveAverage="0" equalAverage="0" bottom="0" percent="0" rank="0" text="" dxfId="2">
      <formula>"Amber"</formula>
    </cfRule>
    <cfRule type="cellIs" priority="4" operator="equal" aboveAverage="0" equalAverage="0" bottom="0" percent="0" rank="0" text="" dxfId="0">
      <formula>"Red"</formula>
    </cfRule>
  </conditionalFormatting>
  <conditionalFormatting sqref="D6:D11">
    <cfRule type="cellIs" priority="5" operator="equal" aboveAverage="0" equalAverage="0" bottom="0" percent="0" rank="0" text="" dxfId="1">
      <formula>"Green"</formula>
    </cfRule>
    <cfRule type="cellIs" priority="6" operator="equal" aboveAverage="0" equalAverage="0" bottom="0" percent="0" rank="0" text="" dxfId="2">
      <formula>"Amber"</formula>
    </cfRule>
    <cfRule type="cellIs" priority="7" operator="equal" aboveAverage="0" equalAverage="0" bottom="0" percent="0" rank="0" text="" dxfId="0">
      <formula>"Red"</formula>
    </cfRule>
  </conditionalFormatting>
  <conditionalFormatting sqref="E6:E11">
    <cfRule type="cellIs" priority="8" operator="equal" aboveAverage="0" equalAverage="0" bottom="0" percent="0" rank="0" text="" dxfId="1">
      <formula>"Green"</formula>
    </cfRule>
    <cfRule type="cellIs" priority="9" operator="equal" aboveAverage="0" equalAverage="0" bottom="0" percent="0" rank="0" text="" dxfId="2">
      <formula>"Amber"</formula>
    </cfRule>
    <cfRule type="cellIs" priority="10" operator="equal" aboveAverage="0" equalAverage="0" bottom="0" percent="0" rank="0" text="" dxfId="0">
      <formula>"Red"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6"/>
    <col collapsed="false" customWidth="true" hidden="false" outlineLevel="0" max="8" min="7" style="0" width="12"/>
  </cols>
  <sheetData>
    <row r="2" customFormat="false" ht="18.55" hidden="false" customHeight="false" outlineLevel="0" collapsed="false">
      <c r="B2" s="25" t="s">
        <v>214</v>
      </c>
    </row>
    <row r="3" customFormat="false" ht="15" hidden="false" customHeight="false" outlineLevel="0" collapsed="false">
      <c r="B3" s="26" t="s">
        <v>215</v>
      </c>
    </row>
    <row r="5" customFormat="false" ht="27.75" hidden="false" customHeight="true" outlineLevel="0" collapsed="false">
      <c r="B5" s="8" t="s">
        <v>216</v>
      </c>
      <c r="C5" s="8" t="s">
        <v>217</v>
      </c>
      <c r="D5" s="8" t="s">
        <v>218</v>
      </c>
      <c r="E5" s="8" t="s">
        <v>219</v>
      </c>
      <c r="F5" s="8" t="s">
        <v>220</v>
      </c>
      <c r="G5" s="8" t="s">
        <v>221</v>
      </c>
      <c r="H5" s="8" t="s">
        <v>222</v>
      </c>
    </row>
    <row r="6" customFormat="false" ht="18" hidden="false" customHeight="true" outlineLevel="0" collapsed="false">
      <c r="B6" s="19" t="s">
        <v>223</v>
      </c>
      <c r="C6" s="19" t="s">
        <v>224</v>
      </c>
      <c r="D6" s="19" t="s">
        <v>225</v>
      </c>
      <c r="E6" s="19" t="s">
        <v>226</v>
      </c>
      <c r="F6" s="19" t="n">
        <v>40</v>
      </c>
      <c r="G6" s="27" t="n">
        <v>95</v>
      </c>
      <c r="H6" s="27" t="n">
        <v>210</v>
      </c>
    </row>
    <row r="7" customFormat="false" ht="18" hidden="false" customHeight="true" outlineLevel="0" collapsed="false">
      <c r="B7" s="19" t="s">
        <v>227</v>
      </c>
      <c r="C7" s="19" t="s">
        <v>228</v>
      </c>
      <c r="D7" s="19" t="s">
        <v>229</v>
      </c>
      <c r="E7" s="19" t="s">
        <v>230</v>
      </c>
      <c r="F7" s="19" t="n">
        <v>40</v>
      </c>
      <c r="G7" s="27" t="n">
        <v>78</v>
      </c>
      <c r="H7" s="27" t="n">
        <v>175</v>
      </c>
    </row>
    <row r="8" customFormat="false" ht="18" hidden="false" customHeight="true" outlineLevel="0" collapsed="false">
      <c r="B8" s="19" t="s">
        <v>231</v>
      </c>
      <c r="C8" s="19" t="s">
        <v>232</v>
      </c>
      <c r="D8" s="19" t="s">
        <v>229</v>
      </c>
      <c r="E8" s="19" t="s">
        <v>230</v>
      </c>
      <c r="F8" s="19" t="n">
        <v>40</v>
      </c>
      <c r="G8" s="27" t="n">
        <v>78</v>
      </c>
      <c r="H8" s="27" t="n">
        <v>175</v>
      </c>
    </row>
    <row r="9" customFormat="false" ht="18" hidden="false" customHeight="true" outlineLevel="0" collapsed="false">
      <c r="B9" s="19" t="s">
        <v>233</v>
      </c>
      <c r="C9" s="19" t="s">
        <v>234</v>
      </c>
      <c r="D9" s="19" t="s">
        <v>235</v>
      </c>
      <c r="E9" s="19" t="s">
        <v>230</v>
      </c>
      <c r="F9" s="19" t="n">
        <v>40</v>
      </c>
      <c r="G9" s="27" t="n">
        <v>60</v>
      </c>
      <c r="H9" s="27" t="n">
        <v>140</v>
      </c>
    </row>
    <row r="10" customFormat="false" ht="18" hidden="false" customHeight="true" outlineLevel="0" collapsed="false">
      <c r="B10" s="19" t="s">
        <v>236</v>
      </c>
      <c r="C10" s="19" t="s">
        <v>237</v>
      </c>
      <c r="D10" s="19" t="s">
        <v>235</v>
      </c>
      <c r="E10" s="19" t="s">
        <v>230</v>
      </c>
      <c r="F10" s="19" t="n">
        <v>40</v>
      </c>
      <c r="G10" s="27" t="n">
        <v>60</v>
      </c>
      <c r="H10" s="27" t="n">
        <v>140</v>
      </c>
    </row>
    <row r="11" customFormat="false" ht="18" hidden="false" customHeight="true" outlineLevel="0" collapsed="false">
      <c r="B11" s="19" t="s">
        <v>238</v>
      </c>
      <c r="C11" s="19" t="s">
        <v>239</v>
      </c>
      <c r="D11" s="19" t="s">
        <v>240</v>
      </c>
      <c r="E11" s="19" t="s">
        <v>241</v>
      </c>
      <c r="F11" s="19" t="n">
        <v>40</v>
      </c>
      <c r="G11" s="27" t="n">
        <v>68</v>
      </c>
      <c r="H11" s="27" t="n">
        <v>150</v>
      </c>
    </row>
    <row r="12" customFormat="false" ht="18" hidden="false" customHeight="true" outlineLevel="0" collapsed="false">
      <c r="B12" s="19" t="s">
        <v>242</v>
      </c>
      <c r="C12" s="19" t="s">
        <v>243</v>
      </c>
      <c r="D12" s="19" t="s">
        <v>244</v>
      </c>
      <c r="E12" s="19" t="s">
        <v>241</v>
      </c>
      <c r="F12" s="19" t="n">
        <v>40</v>
      </c>
      <c r="G12" s="27" t="n">
        <v>52</v>
      </c>
      <c r="H12" s="27" t="n">
        <v>120</v>
      </c>
    </row>
    <row r="13" customFormat="false" ht="18" hidden="false" customHeight="true" outlineLevel="0" collapsed="false">
      <c r="B13" s="19" t="s">
        <v>245</v>
      </c>
      <c r="C13" s="19" t="s">
        <v>246</v>
      </c>
      <c r="D13" s="19" t="s">
        <v>247</v>
      </c>
      <c r="E13" s="19" t="s">
        <v>248</v>
      </c>
      <c r="F13" s="19" t="n">
        <v>40</v>
      </c>
      <c r="G13" s="27" t="n">
        <v>82</v>
      </c>
      <c r="H13" s="27" t="n">
        <v>185</v>
      </c>
    </row>
    <row r="14" customFormat="false" ht="18" hidden="false" customHeight="true" outlineLevel="0" collapsed="false">
      <c r="B14" s="19" t="s">
        <v>249</v>
      </c>
      <c r="C14" s="19" t="s">
        <v>250</v>
      </c>
      <c r="D14" s="19" t="s">
        <v>251</v>
      </c>
      <c r="E14" s="19" t="s">
        <v>252</v>
      </c>
      <c r="F14" s="19" t="n">
        <v>40</v>
      </c>
      <c r="G14" s="27" t="n">
        <v>70</v>
      </c>
      <c r="H14" s="27" t="n">
        <v>160</v>
      </c>
    </row>
    <row r="15" customFormat="false" ht="18" hidden="false" customHeight="true" outlineLevel="0" collapsed="false">
      <c r="B15" s="19" t="s">
        <v>253</v>
      </c>
      <c r="C15" s="19" t="s">
        <v>254</v>
      </c>
      <c r="D15" s="19" t="s">
        <v>251</v>
      </c>
      <c r="E15" s="19" t="s">
        <v>252</v>
      </c>
      <c r="F15" s="19" t="n">
        <v>32</v>
      </c>
      <c r="G15" s="27" t="n">
        <v>70</v>
      </c>
      <c r="H15" s="27" t="n">
        <v>160</v>
      </c>
    </row>
    <row r="16" customFormat="false" ht="18" hidden="false" customHeight="true" outlineLevel="0" collapsed="false">
      <c r="B16" s="19" t="s">
        <v>255</v>
      </c>
      <c r="C16" s="19" t="s">
        <v>256</v>
      </c>
      <c r="D16" s="19" t="s">
        <v>41</v>
      </c>
      <c r="E16" s="19" t="s">
        <v>257</v>
      </c>
      <c r="F16" s="19" t="n">
        <v>40</v>
      </c>
      <c r="G16" s="27" t="n">
        <v>88</v>
      </c>
      <c r="H16" s="27" t="n">
        <v>195</v>
      </c>
    </row>
    <row r="17" customFormat="false" ht="18" hidden="false" customHeight="true" outlineLevel="0" collapsed="false">
      <c r="B17" s="19" t="s">
        <v>258</v>
      </c>
      <c r="C17" s="19" t="s">
        <v>259</v>
      </c>
      <c r="D17" s="19" t="s">
        <v>260</v>
      </c>
      <c r="E17" s="19" t="s">
        <v>257</v>
      </c>
      <c r="F17" s="19" t="n">
        <v>40</v>
      </c>
      <c r="G17" s="27" t="n">
        <v>72</v>
      </c>
      <c r="H17" s="27" t="n">
        <v>165</v>
      </c>
    </row>
    <row r="18" customFormat="false" ht="18" hidden="false" customHeight="true" outlineLevel="0" collapsed="false">
      <c r="B18" s="19" t="s">
        <v>261</v>
      </c>
      <c r="C18" s="19" t="s">
        <v>262</v>
      </c>
      <c r="D18" s="19" t="s">
        <v>263</v>
      </c>
      <c r="E18" s="19" t="s">
        <v>248</v>
      </c>
      <c r="F18" s="19" t="n">
        <v>40</v>
      </c>
      <c r="G18" s="27" t="n">
        <v>80</v>
      </c>
      <c r="H18" s="27" t="n">
        <v>180</v>
      </c>
    </row>
    <row r="19" customFormat="false" ht="18" hidden="false" customHeight="true" outlineLevel="0" collapsed="false">
      <c r="B19" s="19" t="s">
        <v>264</v>
      </c>
      <c r="C19" s="19" t="s">
        <v>265</v>
      </c>
      <c r="D19" s="19" t="s">
        <v>266</v>
      </c>
      <c r="E19" s="19" t="s">
        <v>230</v>
      </c>
      <c r="F19" s="19" t="n">
        <v>40</v>
      </c>
      <c r="G19" s="27" t="n">
        <v>75</v>
      </c>
      <c r="H19" s="27" t="n">
        <v>170</v>
      </c>
    </row>
    <row r="20" customFormat="false" ht="18" hidden="false" customHeight="true" outlineLevel="0" collapsed="false">
      <c r="B20" s="19" t="s">
        <v>267</v>
      </c>
      <c r="C20" s="19" t="s">
        <v>268</v>
      </c>
      <c r="D20" s="19" t="s">
        <v>269</v>
      </c>
      <c r="E20" s="19" t="s">
        <v>270</v>
      </c>
      <c r="F20" s="19" t="n">
        <v>24</v>
      </c>
      <c r="G20" s="27" t="n">
        <v>65</v>
      </c>
      <c r="H20" s="27" t="n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3"/>
  </cols>
  <sheetData>
    <row r="2" customFormat="false" ht="18.55" hidden="false" customHeight="false" outlineLevel="0" collapsed="false">
      <c r="B2" s="25" t="s">
        <v>271</v>
      </c>
    </row>
    <row r="3" customFormat="false" ht="15" hidden="false" customHeight="false" outlineLevel="0" collapsed="false">
      <c r="B3" s="26" t="s">
        <v>272</v>
      </c>
    </row>
    <row r="5" customFormat="false" ht="27.75" hidden="false" customHeight="true" outlineLevel="0" collapsed="false">
      <c r="B5" s="8" t="s">
        <v>273</v>
      </c>
      <c r="C5" s="8" t="s">
        <v>216</v>
      </c>
      <c r="D5" s="8" t="s">
        <v>217</v>
      </c>
      <c r="E5" s="8" t="s">
        <v>218</v>
      </c>
      <c r="F5" s="8" t="s">
        <v>35</v>
      </c>
      <c r="G5" s="8" t="s">
        <v>36</v>
      </c>
      <c r="H5" s="8" t="s">
        <v>274</v>
      </c>
      <c r="I5" s="8" t="s">
        <v>275</v>
      </c>
      <c r="J5" s="8" t="s">
        <v>276</v>
      </c>
      <c r="K5" s="8" t="s">
        <v>277</v>
      </c>
    </row>
    <row r="6" customFormat="false" ht="15" hidden="false" customHeight="true" outlineLevel="0" collapsed="false">
      <c r="B6" s="19" t="s">
        <v>278</v>
      </c>
      <c r="C6" s="19" t="s">
        <v>258</v>
      </c>
      <c r="D6" s="19" t="s">
        <v>259</v>
      </c>
      <c r="E6" s="19" t="s">
        <v>260</v>
      </c>
      <c r="F6" s="19" t="s">
        <v>66</v>
      </c>
      <c r="G6" s="19" t="s">
        <v>67</v>
      </c>
      <c r="H6" s="19" t="s">
        <v>279</v>
      </c>
      <c r="I6" s="19" t="n">
        <v>32</v>
      </c>
      <c r="J6" s="19" t="n">
        <v>40</v>
      </c>
      <c r="K6" s="19" t="s">
        <v>280</v>
      </c>
    </row>
    <row r="7" customFormat="false" ht="15" hidden="false" customHeight="true" outlineLevel="0" collapsed="false">
      <c r="B7" s="19" t="s">
        <v>281</v>
      </c>
      <c r="C7" s="19" t="s">
        <v>238</v>
      </c>
      <c r="D7" s="19" t="s">
        <v>239</v>
      </c>
      <c r="E7" s="19" t="s">
        <v>240</v>
      </c>
      <c r="F7" s="19" t="s">
        <v>42</v>
      </c>
      <c r="G7" s="19" t="s">
        <v>43</v>
      </c>
      <c r="H7" s="19" t="s">
        <v>279</v>
      </c>
      <c r="I7" s="19" t="n">
        <v>35</v>
      </c>
      <c r="J7" s="19" t="n">
        <v>40</v>
      </c>
      <c r="K7" s="19" t="s">
        <v>280</v>
      </c>
    </row>
    <row r="8" customFormat="false" ht="15" hidden="false" customHeight="true" outlineLevel="0" collapsed="false">
      <c r="B8" s="19" t="s">
        <v>282</v>
      </c>
      <c r="C8" s="19" t="s">
        <v>249</v>
      </c>
      <c r="D8" s="19" t="s">
        <v>250</v>
      </c>
      <c r="E8" s="19" t="s">
        <v>251</v>
      </c>
      <c r="F8" s="19" t="s">
        <v>48</v>
      </c>
      <c r="G8" s="19" t="s">
        <v>49</v>
      </c>
      <c r="H8" s="19" t="s">
        <v>283</v>
      </c>
      <c r="I8" s="19" t="n">
        <v>11</v>
      </c>
      <c r="J8" s="19" t="n">
        <v>40</v>
      </c>
      <c r="K8" s="19" t="s">
        <v>280</v>
      </c>
    </row>
    <row r="9" customFormat="false" ht="15" hidden="false" customHeight="true" outlineLevel="0" collapsed="false">
      <c r="B9" s="19" t="s">
        <v>284</v>
      </c>
      <c r="C9" s="19" t="s">
        <v>238</v>
      </c>
      <c r="D9" s="19" t="s">
        <v>239</v>
      </c>
      <c r="E9" s="19" t="s">
        <v>240</v>
      </c>
      <c r="F9" s="19" t="s">
        <v>42</v>
      </c>
      <c r="G9" s="19" t="s">
        <v>43</v>
      </c>
      <c r="H9" s="19" t="s">
        <v>285</v>
      </c>
      <c r="I9" s="19" t="n">
        <v>14</v>
      </c>
      <c r="J9" s="19" t="n">
        <v>40</v>
      </c>
      <c r="K9" s="19" t="s">
        <v>280</v>
      </c>
    </row>
    <row r="10" customFormat="false" ht="15" hidden="false" customHeight="true" outlineLevel="0" collapsed="false">
      <c r="B10" s="19" t="s">
        <v>286</v>
      </c>
      <c r="C10" s="19" t="s">
        <v>245</v>
      </c>
      <c r="D10" s="19" t="s">
        <v>246</v>
      </c>
      <c r="E10" s="19" t="s">
        <v>247</v>
      </c>
      <c r="F10" s="19" t="s">
        <v>62</v>
      </c>
      <c r="G10" s="19" t="s">
        <v>63</v>
      </c>
      <c r="H10" s="19" t="s">
        <v>287</v>
      </c>
      <c r="I10" s="19" t="n">
        <v>20</v>
      </c>
      <c r="J10" s="19" t="n">
        <v>40</v>
      </c>
      <c r="K10" s="19" t="s">
        <v>280</v>
      </c>
    </row>
    <row r="11" customFormat="false" ht="15" hidden="false" customHeight="true" outlineLevel="0" collapsed="false">
      <c r="B11" s="19" t="s">
        <v>288</v>
      </c>
      <c r="C11" s="19" t="s">
        <v>238</v>
      </c>
      <c r="D11" s="19" t="s">
        <v>239</v>
      </c>
      <c r="E11" s="19" t="s">
        <v>240</v>
      </c>
      <c r="F11" s="19" t="s">
        <v>58</v>
      </c>
      <c r="G11" s="19" t="s">
        <v>59</v>
      </c>
      <c r="H11" s="19" t="s">
        <v>289</v>
      </c>
      <c r="I11" s="19" t="n">
        <v>12</v>
      </c>
      <c r="J11" s="19" t="n">
        <v>40</v>
      </c>
      <c r="K11" s="19" t="s">
        <v>280</v>
      </c>
    </row>
    <row r="12" customFormat="false" ht="15" hidden="false" customHeight="true" outlineLevel="0" collapsed="false">
      <c r="B12" s="19" t="s">
        <v>290</v>
      </c>
      <c r="C12" s="19" t="s">
        <v>249</v>
      </c>
      <c r="D12" s="19" t="s">
        <v>250</v>
      </c>
      <c r="E12" s="19" t="s">
        <v>251</v>
      </c>
      <c r="F12" s="19" t="s">
        <v>42</v>
      </c>
      <c r="G12" s="19" t="s">
        <v>43</v>
      </c>
      <c r="H12" s="19" t="s">
        <v>291</v>
      </c>
      <c r="I12" s="19" t="n">
        <v>17</v>
      </c>
      <c r="J12" s="19" t="n">
        <v>40</v>
      </c>
      <c r="K12" s="19" t="s">
        <v>280</v>
      </c>
    </row>
    <row r="13" customFormat="false" ht="15" hidden="false" customHeight="true" outlineLevel="0" collapsed="false">
      <c r="B13" s="19" t="s">
        <v>292</v>
      </c>
      <c r="C13" s="19" t="s">
        <v>258</v>
      </c>
      <c r="D13" s="19" t="s">
        <v>259</v>
      </c>
      <c r="E13" s="19" t="s">
        <v>260</v>
      </c>
      <c r="F13" s="19" t="s">
        <v>62</v>
      </c>
      <c r="G13" s="19" t="s">
        <v>63</v>
      </c>
      <c r="H13" s="19" t="s">
        <v>293</v>
      </c>
      <c r="I13" s="19" t="n">
        <v>12</v>
      </c>
      <c r="J13" s="19" t="n">
        <v>40</v>
      </c>
      <c r="K13" s="19" t="s">
        <v>280</v>
      </c>
    </row>
    <row r="14" customFormat="false" ht="15" hidden="false" customHeight="true" outlineLevel="0" collapsed="false">
      <c r="B14" s="19" t="s">
        <v>294</v>
      </c>
      <c r="C14" s="19" t="s">
        <v>227</v>
      </c>
      <c r="D14" s="19" t="s">
        <v>228</v>
      </c>
      <c r="E14" s="19" t="s">
        <v>229</v>
      </c>
      <c r="F14" s="19" t="s">
        <v>58</v>
      </c>
      <c r="G14" s="19" t="s">
        <v>59</v>
      </c>
      <c r="H14" s="19" t="s">
        <v>295</v>
      </c>
      <c r="I14" s="19" t="n">
        <v>12</v>
      </c>
      <c r="J14" s="19" t="n">
        <v>40</v>
      </c>
      <c r="K14" s="19" t="s">
        <v>280</v>
      </c>
    </row>
    <row r="15" customFormat="false" ht="15" hidden="false" customHeight="true" outlineLevel="0" collapsed="false">
      <c r="B15" s="19" t="s">
        <v>296</v>
      </c>
      <c r="C15" s="19" t="s">
        <v>253</v>
      </c>
      <c r="D15" s="19" t="s">
        <v>254</v>
      </c>
      <c r="E15" s="19" t="s">
        <v>251</v>
      </c>
      <c r="F15" s="19" t="s">
        <v>42</v>
      </c>
      <c r="G15" s="19" t="s">
        <v>43</v>
      </c>
      <c r="H15" s="19" t="s">
        <v>295</v>
      </c>
      <c r="I15" s="19" t="n">
        <v>14</v>
      </c>
      <c r="J15" s="19" t="n">
        <v>32</v>
      </c>
      <c r="K15" s="19" t="s">
        <v>280</v>
      </c>
    </row>
    <row r="16" customFormat="false" ht="15" hidden="false" customHeight="true" outlineLevel="0" collapsed="false">
      <c r="B16" s="19" t="s">
        <v>297</v>
      </c>
      <c r="C16" s="19" t="s">
        <v>233</v>
      </c>
      <c r="D16" s="19" t="s">
        <v>234</v>
      </c>
      <c r="E16" s="19" t="s">
        <v>235</v>
      </c>
      <c r="F16" s="19" t="s">
        <v>48</v>
      </c>
      <c r="G16" s="19" t="s">
        <v>49</v>
      </c>
      <c r="H16" s="19" t="s">
        <v>285</v>
      </c>
      <c r="I16" s="19" t="n">
        <v>10</v>
      </c>
      <c r="J16" s="19" t="n">
        <v>40</v>
      </c>
      <c r="K16" s="19" t="s">
        <v>280</v>
      </c>
    </row>
    <row r="17" customFormat="false" ht="15" hidden="false" customHeight="true" outlineLevel="0" collapsed="false">
      <c r="B17" s="19" t="s">
        <v>298</v>
      </c>
      <c r="C17" s="19" t="s">
        <v>255</v>
      </c>
      <c r="D17" s="19" t="s">
        <v>256</v>
      </c>
      <c r="E17" s="19" t="s">
        <v>41</v>
      </c>
      <c r="F17" s="19" t="s">
        <v>62</v>
      </c>
      <c r="G17" s="19" t="s">
        <v>63</v>
      </c>
      <c r="H17" s="19" t="s">
        <v>291</v>
      </c>
      <c r="I17" s="19" t="n">
        <v>17</v>
      </c>
      <c r="J17" s="19" t="n">
        <v>40</v>
      </c>
      <c r="K17" s="19" t="s">
        <v>280</v>
      </c>
    </row>
    <row r="18" customFormat="false" ht="15" hidden="false" customHeight="true" outlineLevel="0" collapsed="false">
      <c r="B18" s="19" t="s">
        <v>299</v>
      </c>
      <c r="C18" s="19" t="s">
        <v>267</v>
      </c>
      <c r="D18" s="19" t="s">
        <v>268</v>
      </c>
      <c r="E18" s="19" t="s">
        <v>269</v>
      </c>
      <c r="F18" s="19" t="s">
        <v>53</v>
      </c>
      <c r="G18" s="19" t="s">
        <v>54</v>
      </c>
      <c r="H18" s="19" t="s">
        <v>300</v>
      </c>
      <c r="I18" s="19" t="n">
        <v>8</v>
      </c>
      <c r="J18" s="19" t="n">
        <v>24</v>
      </c>
      <c r="K18" s="19" t="s">
        <v>280</v>
      </c>
    </row>
    <row r="19" customFormat="false" ht="15" hidden="false" customHeight="true" outlineLevel="0" collapsed="false">
      <c r="B19" s="19" t="s">
        <v>301</v>
      </c>
      <c r="C19" s="19" t="s">
        <v>236</v>
      </c>
      <c r="D19" s="19" t="s">
        <v>237</v>
      </c>
      <c r="E19" s="19" t="s">
        <v>235</v>
      </c>
      <c r="F19" s="19" t="s">
        <v>58</v>
      </c>
      <c r="G19" s="19" t="s">
        <v>59</v>
      </c>
      <c r="H19" s="19" t="s">
        <v>289</v>
      </c>
      <c r="I19" s="19" t="n">
        <v>37</v>
      </c>
      <c r="J19" s="19" t="n">
        <v>40</v>
      </c>
      <c r="K19" s="19" t="s">
        <v>280</v>
      </c>
    </row>
    <row r="20" customFormat="false" ht="15" hidden="false" customHeight="true" outlineLevel="0" collapsed="false">
      <c r="B20" s="19" t="s">
        <v>302</v>
      </c>
      <c r="C20" s="19" t="s">
        <v>223</v>
      </c>
      <c r="D20" s="19" t="s">
        <v>224</v>
      </c>
      <c r="E20" s="19" t="s">
        <v>225</v>
      </c>
      <c r="F20" s="19" t="s">
        <v>58</v>
      </c>
      <c r="G20" s="19" t="s">
        <v>59</v>
      </c>
      <c r="H20" s="19" t="s">
        <v>291</v>
      </c>
      <c r="I20" s="19" t="n">
        <v>13</v>
      </c>
      <c r="J20" s="19" t="n">
        <v>40</v>
      </c>
      <c r="K20" s="19" t="s">
        <v>280</v>
      </c>
    </row>
    <row r="21" customFormat="false" ht="15" hidden="false" customHeight="true" outlineLevel="0" collapsed="false">
      <c r="B21" s="19" t="s">
        <v>303</v>
      </c>
      <c r="C21" s="19" t="s">
        <v>231</v>
      </c>
      <c r="D21" s="19" t="s">
        <v>232</v>
      </c>
      <c r="E21" s="19" t="s">
        <v>229</v>
      </c>
      <c r="F21" s="19" t="s">
        <v>42</v>
      </c>
      <c r="G21" s="19" t="s">
        <v>43</v>
      </c>
      <c r="H21" s="19" t="s">
        <v>287</v>
      </c>
      <c r="I21" s="19" t="n">
        <v>15</v>
      </c>
      <c r="J21" s="19" t="n">
        <v>40</v>
      </c>
      <c r="K21" s="19" t="s">
        <v>280</v>
      </c>
    </row>
    <row r="22" customFormat="false" ht="15" hidden="false" customHeight="true" outlineLevel="0" collapsed="false">
      <c r="B22" s="19" t="s">
        <v>304</v>
      </c>
      <c r="C22" s="19" t="s">
        <v>253</v>
      </c>
      <c r="D22" s="19" t="s">
        <v>254</v>
      </c>
      <c r="E22" s="19" t="s">
        <v>251</v>
      </c>
      <c r="F22" s="19" t="s">
        <v>48</v>
      </c>
      <c r="G22" s="19" t="s">
        <v>49</v>
      </c>
      <c r="H22" s="19" t="s">
        <v>279</v>
      </c>
      <c r="I22" s="19" t="n">
        <v>24</v>
      </c>
      <c r="J22" s="19" t="n">
        <v>32</v>
      </c>
      <c r="K22" s="19" t="s">
        <v>280</v>
      </c>
    </row>
    <row r="23" customFormat="false" ht="15" hidden="false" customHeight="true" outlineLevel="0" collapsed="false">
      <c r="B23" s="19" t="s">
        <v>305</v>
      </c>
      <c r="C23" s="19" t="s">
        <v>245</v>
      </c>
      <c r="D23" s="19" t="s">
        <v>246</v>
      </c>
      <c r="E23" s="19" t="s">
        <v>247</v>
      </c>
      <c r="F23" s="19" t="s">
        <v>53</v>
      </c>
      <c r="G23" s="19" t="s">
        <v>54</v>
      </c>
      <c r="H23" s="19" t="s">
        <v>295</v>
      </c>
      <c r="I23" s="19" t="n">
        <v>17</v>
      </c>
      <c r="J23" s="19" t="n">
        <v>40</v>
      </c>
      <c r="K23" s="19" t="s">
        <v>280</v>
      </c>
    </row>
    <row r="24" customFormat="false" ht="15" hidden="false" customHeight="true" outlineLevel="0" collapsed="false">
      <c r="B24" s="19" t="s">
        <v>306</v>
      </c>
      <c r="C24" s="19" t="s">
        <v>255</v>
      </c>
      <c r="D24" s="19" t="s">
        <v>256</v>
      </c>
      <c r="E24" s="19" t="s">
        <v>41</v>
      </c>
      <c r="F24" s="19" t="s">
        <v>42</v>
      </c>
      <c r="G24" s="19" t="s">
        <v>43</v>
      </c>
      <c r="H24" s="19" t="s">
        <v>295</v>
      </c>
      <c r="I24" s="19" t="n">
        <v>10</v>
      </c>
      <c r="J24" s="19" t="n">
        <v>40</v>
      </c>
      <c r="K24" s="19" t="s">
        <v>280</v>
      </c>
    </row>
    <row r="25" customFormat="false" ht="15" hidden="false" customHeight="true" outlineLevel="0" collapsed="false">
      <c r="B25" s="19" t="s">
        <v>307</v>
      </c>
      <c r="C25" s="19" t="s">
        <v>242</v>
      </c>
      <c r="D25" s="19" t="s">
        <v>243</v>
      </c>
      <c r="E25" s="19" t="s">
        <v>244</v>
      </c>
      <c r="F25" s="19" t="s">
        <v>58</v>
      </c>
      <c r="G25" s="19" t="s">
        <v>59</v>
      </c>
      <c r="H25" s="19" t="s">
        <v>283</v>
      </c>
      <c r="I25" s="19" t="n">
        <v>11</v>
      </c>
      <c r="J25" s="19" t="n">
        <v>40</v>
      </c>
      <c r="K25" s="19" t="s">
        <v>280</v>
      </c>
    </row>
    <row r="26" customFormat="false" ht="15" hidden="false" customHeight="true" outlineLevel="0" collapsed="false">
      <c r="B26" s="19" t="s">
        <v>308</v>
      </c>
      <c r="C26" s="19" t="s">
        <v>258</v>
      </c>
      <c r="D26" s="19" t="s">
        <v>259</v>
      </c>
      <c r="E26" s="19" t="s">
        <v>260</v>
      </c>
      <c r="F26" s="19" t="s">
        <v>42</v>
      </c>
      <c r="G26" s="19" t="s">
        <v>43</v>
      </c>
      <c r="H26" s="19" t="s">
        <v>309</v>
      </c>
      <c r="I26" s="19" t="n">
        <v>20</v>
      </c>
      <c r="J26" s="19" t="n">
        <v>40</v>
      </c>
      <c r="K26" s="19" t="s">
        <v>280</v>
      </c>
    </row>
    <row r="27" customFormat="false" ht="15" hidden="false" customHeight="true" outlineLevel="0" collapsed="false">
      <c r="B27" s="19" t="s">
        <v>310</v>
      </c>
      <c r="C27" s="19" t="s">
        <v>227</v>
      </c>
      <c r="D27" s="19" t="s">
        <v>228</v>
      </c>
      <c r="E27" s="19" t="s">
        <v>229</v>
      </c>
      <c r="F27" s="19" t="s">
        <v>58</v>
      </c>
      <c r="G27" s="19" t="s">
        <v>59</v>
      </c>
      <c r="H27" s="19" t="s">
        <v>293</v>
      </c>
      <c r="I27" s="19" t="n">
        <v>7</v>
      </c>
      <c r="J27" s="19" t="n">
        <v>40</v>
      </c>
      <c r="K27" s="19" t="s">
        <v>280</v>
      </c>
    </row>
    <row r="28" customFormat="false" ht="15" hidden="false" customHeight="true" outlineLevel="0" collapsed="false">
      <c r="B28" s="19" t="s">
        <v>311</v>
      </c>
      <c r="C28" s="19" t="s">
        <v>233</v>
      </c>
      <c r="D28" s="19" t="s">
        <v>234</v>
      </c>
      <c r="E28" s="19" t="s">
        <v>235</v>
      </c>
      <c r="F28" s="19" t="s">
        <v>58</v>
      </c>
      <c r="G28" s="19" t="s">
        <v>59</v>
      </c>
      <c r="H28" s="19" t="s">
        <v>312</v>
      </c>
      <c r="I28" s="19" t="n">
        <v>12</v>
      </c>
      <c r="J28" s="19" t="n">
        <v>40</v>
      </c>
      <c r="K28" s="19" t="s">
        <v>280</v>
      </c>
    </row>
    <row r="29" customFormat="false" ht="15" hidden="false" customHeight="true" outlineLevel="0" collapsed="false">
      <c r="B29" s="19" t="s">
        <v>313</v>
      </c>
      <c r="C29" s="19" t="s">
        <v>238</v>
      </c>
      <c r="D29" s="19" t="s">
        <v>239</v>
      </c>
      <c r="E29" s="19" t="s">
        <v>240</v>
      </c>
      <c r="F29" s="19" t="s">
        <v>48</v>
      </c>
      <c r="G29" s="19" t="s">
        <v>49</v>
      </c>
      <c r="H29" s="19" t="s">
        <v>293</v>
      </c>
      <c r="I29" s="19" t="n">
        <v>16</v>
      </c>
      <c r="J29" s="19" t="n">
        <v>40</v>
      </c>
      <c r="K29" s="19" t="s">
        <v>280</v>
      </c>
    </row>
    <row r="30" customFormat="false" ht="15" hidden="false" customHeight="true" outlineLevel="0" collapsed="false">
      <c r="B30" s="19" t="s">
        <v>314</v>
      </c>
      <c r="C30" s="19" t="s">
        <v>255</v>
      </c>
      <c r="D30" s="19" t="s">
        <v>256</v>
      </c>
      <c r="E30" s="19" t="s">
        <v>41</v>
      </c>
      <c r="F30" s="19" t="s">
        <v>66</v>
      </c>
      <c r="G30" s="19" t="s">
        <v>67</v>
      </c>
      <c r="H30" s="19" t="s">
        <v>285</v>
      </c>
      <c r="I30" s="19" t="n">
        <v>17</v>
      </c>
      <c r="J30" s="19" t="n">
        <v>40</v>
      </c>
      <c r="K30" s="19" t="s">
        <v>280</v>
      </c>
    </row>
    <row r="31" customFormat="false" ht="15" hidden="false" customHeight="true" outlineLevel="0" collapsed="false">
      <c r="B31" s="19" t="s">
        <v>315</v>
      </c>
      <c r="C31" s="19" t="s">
        <v>264</v>
      </c>
      <c r="D31" s="19" t="s">
        <v>265</v>
      </c>
      <c r="E31" s="19" t="s">
        <v>266</v>
      </c>
      <c r="F31" s="19" t="s">
        <v>58</v>
      </c>
      <c r="G31" s="19" t="s">
        <v>59</v>
      </c>
      <c r="H31" s="19" t="s">
        <v>312</v>
      </c>
      <c r="I31" s="19" t="n">
        <v>16</v>
      </c>
      <c r="J31" s="19" t="n">
        <v>40</v>
      </c>
      <c r="K31" s="19" t="s">
        <v>280</v>
      </c>
    </row>
    <row r="32" customFormat="false" ht="15" hidden="false" customHeight="true" outlineLevel="0" collapsed="false">
      <c r="B32" s="19" t="s">
        <v>316</v>
      </c>
      <c r="C32" s="19" t="s">
        <v>264</v>
      </c>
      <c r="D32" s="19" t="s">
        <v>265</v>
      </c>
      <c r="E32" s="19" t="s">
        <v>266</v>
      </c>
      <c r="F32" s="19" t="s">
        <v>66</v>
      </c>
      <c r="G32" s="19" t="s">
        <v>67</v>
      </c>
      <c r="H32" s="19" t="s">
        <v>279</v>
      </c>
      <c r="I32" s="19" t="n">
        <v>19</v>
      </c>
      <c r="J32" s="19" t="n">
        <v>40</v>
      </c>
      <c r="K32" s="19" t="s">
        <v>280</v>
      </c>
    </row>
    <row r="33" customFormat="false" ht="15" hidden="false" customHeight="true" outlineLevel="0" collapsed="false">
      <c r="B33" s="19" t="s">
        <v>317</v>
      </c>
      <c r="C33" s="19" t="s">
        <v>245</v>
      </c>
      <c r="D33" s="19" t="s">
        <v>246</v>
      </c>
      <c r="E33" s="19" t="s">
        <v>247</v>
      </c>
      <c r="F33" s="19" t="s">
        <v>62</v>
      </c>
      <c r="G33" s="19" t="s">
        <v>63</v>
      </c>
      <c r="H33" s="19" t="s">
        <v>291</v>
      </c>
      <c r="I33" s="19" t="n">
        <v>16</v>
      </c>
      <c r="J33" s="19" t="n">
        <v>40</v>
      </c>
      <c r="K33" s="19" t="s">
        <v>280</v>
      </c>
    </row>
    <row r="34" customFormat="false" ht="15" hidden="false" customHeight="true" outlineLevel="0" collapsed="false">
      <c r="B34" s="19" t="s">
        <v>318</v>
      </c>
      <c r="C34" s="19" t="s">
        <v>264</v>
      </c>
      <c r="D34" s="19" t="s">
        <v>265</v>
      </c>
      <c r="E34" s="19" t="s">
        <v>266</v>
      </c>
      <c r="F34" s="19" t="s">
        <v>53</v>
      </c>
      <c r="G34" s="19" t="s">
        <v>54</v>
      </c>
      <c r="H34" s="19" t="s">
        <v>285</v>
      </c>
      <c r="I34" s="19" t="n">
        <v>12</v>
      </c>
      <c r="J34" s="19" t="n">
        <v>40</v>
      </c>
      <c r="K34" s="19" t="s">
        <v>280</v>
      </c>
    </row>
    <row r="35" customFormat="false" ht="15" hidden="false" customHeight="true" outlineLevel="0" collapsed="false">
      <c r="B35" s="19" t="s">
        <v>319</v>
      </c>
      <c r="C35" s="19" t="s">
        <v>253</v>
      </c>
      <c r="D35" s="19" t="s">
        <v>254</v>
      </c>
      <c r="E35" s="19" t="s">
        <v>251</v>
      </c>
      <c r="F35" s="19" t="s">
        <v>48</v>
      </c>
      <c r="G35" s="19" t="s">
        <v>49</v>
      </c>
      <c r="H35" s="19" t="s">
        <v>283</v>
      </c>
      <c r="I35" s="19" t="n">
        <v>23</v>
      </c>
      <c r="J35" s="19" t="n">
        <v>32</v>
      </c>
      <c r="K35" s="19" t="s">
        <v>280</v>
      </c>
    </row>
    <row r="36" customFormat="false" ht="15" hidden="false" customHeight="true" outlineLevel="0" collapsed="false">
      <c r="B36" s="19" t="s">
        <v>320</v>
      </c>
      <c r="C36" s="19" t="s">
        <v>255</v>
      </c>
      <c r="D36" s="19" t="s">
        <v>256</v>
      </c>
      <c r="E36" s="19" t="s">
        <v>41</v>
      </c>
      <c r="F36" s="19" t="s">
        <v>66</v>
      </c>
      <c r="G36" s="19" t="s">
        <v>67</v>
      </c>
      <c r="H36" s="19" t="s">
        <v>312</v>
      </c>
      <c r="I36" s="19" t="n">
        <v>17</v>
      </c>
      <c r="J36" s="19" t="n">
        <v>40</v>
      </c>
      <c r="K36" s="19" t="s">
        <v>280</v>
      </c>
    </row>
    <row r="37" customFormat="false" ht="15" hidden="false" customHeight="true" outlineLevel="0" collapsed="false">
      <c r="B37" s="19" t="s">
        <v>321</v>
      </c>
      <c r="C37" s="19" t="s">
        <v>249</v>
      </c>
      <c r="D37" s="19" t="s">
        <v>250</v>
      </c>
      <c r="E37" s="19" t="s">
        <v>251</v>
      </c>
      <c r="F37" s="19" t="s">
        <v>42</v>
      </c>
      <c r="G37" s="19" t="s">
        <v>43</v>
      </c>
      <c r="H37" s="19" t="s">
        <v>287</v>
      </c>
      <c r="I37" s="19" t="n">
        <v>14</v>
      </c>
      <c r="J37" s="19" t="n">
        <v>40</v>
      </c>
      <c r="K37" s="19" t="s">
        <v>280</v>
      </c>
    </row>
    <row r="38" customFormat="false" ht="15" hidden="false" customHeight="true" outlineLevel="0" collapsed="false">
      <c r="B38" s="19" t="s">
        <v>322</v>
      </c>
      <c r="C38" s="19" t="s">
        <v>258</v>
      </c>
      <c r="D38" s="19" t="s">
        <v>259</v>
      </c>
      <c r="E38" s="19" t="s">
        <v>260</v>
      </c>
      <c r="F38" s="19" t="s">
        <v>48</v>
      </c>
      <c r="G38" s="19" t="s">
        <v>49</v>
      </c>
      <c r="H38" s="19" t="s">
        <v>312</v>
      </c>
      <c r="I38" s="19" t="n">
        <v>19</v>
      </c>
      <c r="J38" s="19" t="n">
        <v>40</v>
      </c>
      <c r="K38" s="19" t="s">
        <v>280</v>
      </c>
    </row>
    <row r="39" customFormat="false" ht="15" hidden="false" customHeight="true" outlineLevel="0" collapsed="false">
      <c r="B39" s="19" t="s">
        <v>323</v>
      </c>
      <c r="C39" s="19" t="s">
        <v>223</v>
      </c>
      <c r="D39" s="19" t="s">
        <v>224</v>
      </c>
      <c r="E39" s="19" t="s">
        <v>225</v>
      </c>
      <c r="F39" s="19" t="s">
        <v>42</v>
      </c>
      <c r="G39" s="19" t="s">
        <v>43</v>
      </c>
      <c r="H39" s="19" t="s">
        <v>285</v>
      </c>
      <c r="I39" s="19" t="n">
        <v>14</v>
      </c>
      <c r="J39" s="19" t="n">
        <v>40</v>
      </c>
      <c r="K39" s="19" t="s">
        <v>280</v>
      </c>
    </row>
    <row r="40" customFormat="false" ht="15" hidden="false" customHeight="true" outlineLevel="0" collapsed="false">
      <c r="B40" s="19" t="s">
        <v>324</v>
      </c>
      <c r="C40" s="19" t="s">
        <v>261</v>
      </c>
      <c r="D40" s="19" t="s">
        <v>262</v>
      </c>
      <c r="E40" s="19" t="s">
        <v>263</v>
      </c>
      <c r="F40" s="19" t="s">
        <v>53</v>
      </c>
      <c r="G40" s="19" t="s">
        <v>54</v>
      </c>
      <c r="H40" s="19" t="s">
        <v>285</v>
      </c>
      <c r="I40" s="19" t="n">
        <v>37</v>
      </c>
      <c r="J40" s="19" t="n">
        <v>40</v>
      </c>
      <c r="K40" s="19" t="s">
        <v>280</v>
      </c>
    </row>
    <row r="41" customFormat="false" ht="15" hidden="false" customHeight="true" outlineLevel="0" collapsed="false">
      <c r="B41" s="19" t="s">
        <v>325</v>
      </c>
      <c r="C41" s="19" t="s">
        <v>245</v>
      </c>
      <c r="D41" s="19" t="s">
        <v>246</v>
      </c>
      <c r="E41" s="19" t="s">
        <v>247</v>
      </c>
      <c r="F41" s="19" t="s">
        <v>53</v>
      </c>
      <c r="G41" s="19" t="s">
        <v>54</v>
      </c>
      <c r="H41" s="19" t="s">
        <v>312</v>
      </c>
      <c r="I41" s="19" t="n">
        <v>16</v>
      </c>
      <c r="J41" s="19" t="n">
        <v>40</v>
      </c>
      <c r="K41" s="19" t="s">
        <v>280</v>
      </c>
    </row>
    <row r="42" customFormat="false" ht="15" hidden="false" customHeight="true" outlineLevel="0" collapsed="false">
      <c r="B42" s="19" t="s">
        <v>326</v>
      </c>
      <c r="C42" s="19" t="s">
        <v>267</v>
      </c>
      <c r="D42" s="19" t="s">
        <v>268</v>
      </c>
      <c r="E42" s="19" t="s">
        <v>269</v>
      </c>
      <c r="F42" s="19" t="s">
        <v>62</v>
      </c>
      <c r="G42" s="19" t="s">
        <v>63</v>
      </c>
      <c r="H42" s="19" t="s">
        <v>289</v>
      </c>
      <c r="I42" s="19" t="n">
        <v>6</v>
      </c>
      <c r="J42" s="19" t="n">
        <v>24</v>
      </c>
      <c r="K42" s="19" t="s">
        <v>280</v>
      </c>
    </row>
    <row r="43" customFormat="false" ht="15" hidden="false" customHeight="true" outlineLevel="0" collapsed="false">
      <c r="B43" s="19" t="s">
        <v>327</v>
      </c>
      <c r="C43" s="19" t="s">
        <v>242</v>
      </c>
      <c r="D43" s="19" t="s">
        <v>243</v>
      </c>
      <c r="E43" s="19" t="s">
        <v>244</v>
      </c>
      <c r="F43" s="19" t="s">
        <v>66</v>
      </c>
      <c r="G43" s="19" t="s">
        <v>67</v>
      </c>
      <c r="H43" s="19" t="s">
        <v>312</v>
      </c>
      <c r="I43" s="19" t="n">
        <v>10</v>
      </c>
      <c r="J43" s="19" t="n">
        <v>40</v>
      </c>
      <c r="K43" s="19" t="s">
        <v>280</v>
      </c>
    </row>
    <row r="44" customFormat="false" ht="15" hidden="false" customHeight="true" outlineLevel="0" collapsed="false">
      <c r="B44" s="19" t="s">
        <v>328</v>
      </c>
      <c r="C44" s="19" t="s">
        <v>245</v>
      </c>
      <c r="D44" s="19" t="s">
        <v>246</v>
      </c>
      <c r="E44" s="19" t="s">
        <v>247</v>
      </c>
      <c r="F44" s="19" t="s">
        <v>48</v>
      </c>
      <c r="G44" s="19" t="s">
        <v>49</v>
      </c>
      <c r="H44" s="19" t="s">
        <v>279</v>
      </c>
      <c r="I44" s="19" t="n">
        <v>13</v>
      </c>
      <c r="J44" s="19" t="n">
        <v>40</v>
      </c>
      <c r="K44" s="19" t="s">
        <v>280</v>
      </c>
    </row>
    <row r="45" customFormat="false" ht="15" hidden="false" customHeight="true" outlineLevel="0" collapsed="false">
      <c r="B45" s="19" t="s">
        <v>329</v>
      </c>
      <c r="C45" s="19" t="s">
        <v>236</v>
      </c>
      <c r="D45" s="19" t="s">
        <v>237</v>
      </c>
      <c r="E45" s="19" t="s">
        <v>235</v>
      </c>
      <c r="F45" s="19" t="s">
        <v>48</v>
      </c>
      <c r="G45" s="19" t="s">
        <v>49</v>
      </c>
      <c r="H45" s="19" t="s">
        <v>291</v>
      </c>
      <c r="I45" s="19" t="n">
        <v>8</v>
      </c>
      <c r="J45" s="19" t="n">
        <v>40</v>
      </c>
      <c r="K45" s="19" t="s">
        <v>280</v>
      </c>
    </row>
    <row r="46" customFormat="false" ht="15" hidden="false" customHeight="true" outlineLevel="0" collapsed="false">
      <c r="B46" s="19" t="s">
        <v>330</v>
      </c>
      <c r="C46" s="19" t="s">
        <v>227</v>
      </c>
      <c r="D46" s="19" t="s">
        <v>228</v>
      </c>
      <c r="E46" s="19" t="s">
        <v>229</v>
      </c>
      <c r="F46" s="19" t="s">
        <v>62</v>
      </c>
      <c r="G46" s="19" t="s">
        <v>63</v>
      </c>
      <c r="H46" s="19" t="s">
        <v>331</v>
      </c>
      <c r="I46" s="19" t="n">
        <v>14</v>
      </c>
      <c r="J46" s="19" t="n">
        <v>40</v>
      </c>
      <c r="K46" s="19" t="s">
        <v>280</v>
      </c>
    </row>
    <row r="47" customFormat="false" ht="15" hidden="false" customHeight="true" outlineLevel="0" collapsed="false">
      <c r="B47" s="19" t="s">
        <v>332</v>
      </c>
      <c r="C47" s="19" t="s">
        <v>231</v>
      </c>
      <c r="D47" s="19" t="s">
        <v>232</v>
      </c>
      <c r="E47" s="19" t="s">
        <v>229</v>
      </c>
      <c r="F47" s="19" t="s">
        <v>66</v>
      </c>
      <c r="G47" s="19" t="s">
        <v>67</v>
      </c>
      <c r="H47" s="19" t="s">
        <v>293</v>
      </c>
      <c r="I47" s="19" t="n">
        <v>17</v>
      </c>
      <c r="J47" s="19" t="n">
        <v>40</v>
      </c>
      <c r="K47" s="19" t="s">
        <v>280</v>
      </c>
    </row>
    <row r="48" customFormat="false" ht="15" hidden="false" customHeight="true" outlineLevel="0" collapsed="false">
      <c r="B48" s="19" t="s">
        <v>333</v>
      </c>
      <c r="C48" s="19" t="s">
        <v>261</v>
      </c>
      <c r="D48" s="19" t="s">
        <v>262</v>
      </c>
      <c r="E48" s="19" t="s">
        <v>263</v>
      </c>
      <c r="F48" s="19" t="s">
        <v>48</v>
      </c>
      <c r="G48" s="19" t="s">
        <v>49</v>
      </c>
      <c r="H48" s="19" t="s">
        <v>279</v>
      </c>
      <c r="I48" s="19" t="n">
        <v>17</v>
      </c>
      <c r="J48" s="19" t="n">
        <v>40</v>
      </c>
      <c r="K48" s="19" t="s">
        <v>280</v>
      </c>
    </row>
    <row r="49" customFormat="false" ht="15" hidden="false" customHeight="true" outlineLevel="0" collapsed="false">
      <c r="B49" s="19" t="s">
        <v>334</v>
      </c>
      <c r="C49" s="19" t="s">
        <v>231</v>
      </c>
      <c r="D49" s="19" t="s">
        <v>232</v>
      </c>
      <c r="E49" s="19" t="s">
        <v>229</v>
      </c>
      <c r="F49" s="19" t="s">
        <v>62</v>
      </c>
      <c r="G49" s="19" t="s">
        <v>63</v>
      </c>
      <c r="H49" s="19" t="s">
        <v>312</v>
      </c>
      <c r="I49" s="19" t="n">
        <v>17</v>
      </c>
      <c r="J49" s="19" t="n">
        <v>40</v>
      </c>
      <c r="K49" s="19" t="s">
        <v>280</v>
      </c>
    </row>
    <row r="50" customFormat="false" ht="15" hidden="false" customHeight="true" outlineLevel="0" collapsed="false">
      <c r="B50" s="19" t="s">
        <v>335</v>
      </c>
      <c r="C50" s="19" t="s">
        <v>233</v>
      </c>
      <c r="D50" s="19" t="s">
        <v>234</v>
      </c>
      <c r="E50" s="19" t="s">
        <v>235</v>
      </c>
      <c r="F50" s="19" t="s">
        <v>42</v>
      </c>
      <c r="G50" s="19" t="s">
        <v>43</v>
      </c>
      <c r="H50" s="19" t="s">
        <v>285</v>
      </c>
      <c r="I50" s="19" t="n">
        <v>13</v>
      </c>
      <c r="J50" s="19" t="n">
        <v>40</v>
      </c>
      <c r="K50" s="19" t="s">
        <v>280</v>
      </c>
    </row>
    <row r="51" customFormat="false" ht="15" hidden="false" customHeight="true" outlineLevel="0" collapsed="false">
      <c r="B51" s="19" t="s">
        <v>336</v>
      </c>
      <c r="C51" s="19" t="s">
        <v>261</v>
      </c>
      <c r="D51" s="19" t="s">
        <v>262</v>
      </c>
      <c r="E51" s="19" t="s">
        <v>263</v>
      </c>
      <c r="F51" s="19" t="s">
        <v>58</v>
      </c>
      <c r="G51" s="19" t="s">
        <v>59</v>
      </c>
      <c r="H51" s="19" t="s">
        <v>291</v>
      </c>
      <c r="I51" s="19" t="n">
        <v>10</v>
      </c>
      <c r="J51" s="19" t="n">
        <v>40</v>
      </c>
      <c r="K51" s="19" t="s">
        <v>280</v>
      </c>
    </row>
    <row r="52" customFormat="false" ht="15" hidden="false" customHeight="true" outlineLevel="0" collapsed="false">
      <c r="B52" s="19" t="s">
        <v>337</v>
      </c>
      <c r="C52" s="19" t="s">
        <v>231</v>
      </c>
      <c r="D52" s="19" t="s">
        <v>232</v>
      </c>
      <c r="E52" s="19" t="s">
        <v>229</v>
      </c>
      <c r="F52" s="19" t="s">
        <v>42</v>
      </c>
      <c r="G52" s="19" t="s">
        <v>43</v>
      </c>
      <c r="H52" s="19" t="s">
        <v>283</v>
      </c>
      <c r="I52" s="19" t="n">
        <v>22</v>
      </c>
      <c r="J52" s="19" t="n">
        <v>40</v>
      </c>
      <c r="K52" s="19" t="s">
        <v>280</v>
      </c>
    </row>
    <row r="53" customFormat="false" ht="15" hidden="false" customHeight="true" outlineLevel="0" collapsed="false">
      <c r="B53" s="19" t="s">
        <v>338</v>
      </c>
      <c r="C53" s="19" t="s">
        <v>231</v>
      </c>
      <c r="D53" s="19" t="s">
        <v>232</v>
      </c>
      <c r="E53" s="19" t="s">
        <v>229</v>
      </c>
      <c r="F53" s="19" t="s">
        <v>62</v>
      </c>
      <c r="G53" s="19" t="s">
        <v>63</v>
      </c>
      <c r="H53" s="19" t="s">
        <v>293</v>
      </c>
      <c r="I53" s="19" t="n">
        <v>16</v>
      </c>
      <c r="J53" s="19" t="n">
        <v>40</v>
      </c>
      <c r="K53" s="19" t="s">
        <v>280</v>
      </c>
    </row>
    <row r="54" customFormat="false" ht="15" hidden="false" customHeight="true" outlineLevel="0" collapsed="false">
      <c r="B54" s="19" t="s">
        <v>339</v>
      </c>
      <c r="C54" s="19" t="s">
        <v>227</v>
      </c>
      <c r="D54" s="19" t="s">
        <v>228</v>
      </c>
      <c r="E54" s="19" t="s">
        <v>229</v>
      </c>
      <c r="F54" s="19" t="s">
        <v>48</v>
      </c>
      <c r="G54" s="19" t="s">
        <v>49</v>
      </c>
      <c r="H54" s="19" t="s">
        <v>312</v>
      </c>
      <c r="I54" s="19" t="n">
        <v>19</v>
      </c>
      <c r="J54" s="19" t="n">
        <v>40</v>
      </c>
      <c r="K54" s="19" t="s">
        <v>280</v>
      </c>
    </row>
    <row r="55" customFormat="false" ht="15" hidden="false" customHeight="true" outlineLevel="0" collapsed="false">
      <c r="B55" s="19" t="s">
        <v>340</v>
      </c>
      <c r="C55" s="19" t="s">
        <v>233</v>
      </c>
      <c r="D55" s="19" t="s">
        <v>234</v>
      </c>
      <c r="E55" s="19" t="s">
        <v>235</v>
      </c>
      <c r="F55" s="19" t="s">
        <v>62</v>
      </c>
      <c r="G55" s="19" t="s">
        <v>63</v>
      </c>
      <c r="H55" s="19" t="s">
        <v>289</v>
      </c>
      <c r="I55" s="19" t="n">
        <v>17</v>
      </c>
      <c r="J55" s="19" t="n">
        <v>40</v>
      </c>
      <c r="K55" s="19" t="s">
        <v>280</v>
      </c>
    </row>
    <row r="56" customFormat="false" ht="15" hidden="false" customHeight="true" outlineLevel="0" collapsed="false">
      <c r="B56" s="19" t="s">
        <v>341</v>
      </c>
      <c r="C56" s="19" t="s">
        <v>253</v>
      </c>
      <c r="D56" s="19" t="s">
        <v>254</v>
      </c>
      <c r="E56" s="19" t="s">
        <v>251</v>
      </c>
      <c r="F56" s="19" t="s">
        <v>48</v>
      </c>
      <c r="G56" s="19" t="s">
        <v>49</v>
      </c>
      <c r="H56" s="19" t="s">
        <v>300</v>
      </c>
      <c r="I56" s="19" t="n">
        <v>24</v>
      </c>
      <c r="J56" s="19" t="n">
        <v>32</v>
      </c>
      <c r="K56" s="19" t="s">
        <v>280</v>
      </c>
    </row>
    <row r="57" customFormat="false" ht="15" hidden="false" customHeight="true" outlineLevel="0" collapsed="false">
      <c r="B57" s="19" t="s">
        <v>342</v>
      </c>
      <c r="C57" s="19" t="s">
        <v>255</v>
      </c>
      <c r="D57" s="19" t="s">
        <v>256</v>
      </c>
      <c r="E57" s="19" t="s">
        <v>41</v>
      </c>
      <c r="F57" s="19" t="s">
        <v>53</v>
      </c>
      <c r="G57" s="19" t="s">
        <v>54</v>
      </c>
      <c r="H57" s="19" t="s">
        <v>293</v>
      </c>
      <c r="I57" s="19" t="n">
        <v>18</v>
      </c>
      <c r="J57" s="19" t="n">
        <v>40</v>
      </c>
      <c r="K57" s="19" t="s">
        <v>280</v>
      </c>
    </row>
    <row r="58" customFormat="false" ht="15" hidden="false" customHeight="true" outlineLevel="0" collapsed="false">
      <c r="B58" s="19" t="s">
        <v>343</v>
      </c>
      <c r="C58" s="19" t="s">
        <v>253</v>
      </c>
      <c r="D58" s="19" t="s">
        <v>254</v>
      </c>
      <c r="E58" s="19" t="s">
        <v>251</v>
      </c>
      <c r="F58" s="19" t="s">
        <v>42</v>
      </c>
      <c r="G58" s="19" t="s">
        <v>43</v>
      </c>
      <c r="H58" s="19" t="s">
        <v>293</v>
      </c>
      <c r="I58" s="19" t="n">
        <v>27</v>
      </c>
      <c r="J58" s="19" t="n">
        <v>32</v>
      </c>
      <c r="K58" s="19" t="s">
        <v>280</v>
      </c>
    </row>
    <row r="59" customFormat="false" ht="15" hidden="false" customHeight="true" outlineLevel="0" collapsed="false">
      <c r="B59" s="19" t="s">
        <v>344</v>
      </c>
      <c r="C59" s="19" t="s">
        <v>233</v>
      </c>
      <c r="D59" s="19" t="s">
        <v>234</v>
      </c>
      <c r="E59" s="19" t="s">
        <v>235</v>
      </c>
      <c r="F59" s="19" t="s">
        <v>62</v>
      </c>
      <c r="G59" s="19" t="s">
        <v>63</v>
      </c>
      <c r="H59" s="19" t="s">
        <v>300</v>
      </c>
      <c r="I59" s="19" t="n">
        <v>10</v>
      </c>
      <c r="J59" s="19" t="n">
        <v>40</v>
      </c>
      <c r="K59" s="19" t="s">
        <v>280</v>
      </c>
    </row>
    <row r="60" customFormat="false" ht="15" hidden="false" customHeight="true" outlineLevel="0" collapsed="false">
      <c r="B60" s="19" t="s">
        <v>345</v>
      </c>
      <c r="C60" s="19" t="s">
        <v>223</v>
      </c>
      <c r="D60" s="19" t="s">
        <v>224</v>
      </c>
      <c r="E60" s="19" t="s">
        <v>225</v>
      </c>
      <c r="F60" s="19" t="s">
        <v>53</v>
      </c>
      <c r="G60" s="19" t="s">
        <v>54</v>
      </c>
      <c r="H60" s="19" t="s">
        <v>331</v>
      </c>
      <c r="I60" s="19" t="n">
        <v>18</v>
      </c>
      <c r="J60" s="19" t="n">
        <v>40</v>
      </c>
      <c r="K60" s="19" t="s">
        <v>280</v>
      </c>
    </row>
    <row r="61" customFormat="false" ht="15" hidden="false" customHeight="true" outlineLevel="0" collapsed="false">
      <c r="B61" s="19" t="s">
        <v>346</v>
      </c>
      <c r="C61" s="19" t="s">
        <v>233</v>
      </c>
      <c r="D61" s="19" t="s">
        <v>234</v>
      </c>
      <c r="E61" s="19" t="s">
        <v>235</v>
      </c>
      <c r="F61" s="19" t="s">
        <v>42</v>
      </c>
      <c r="G61" s="19" t="s">
        <v>43</v>
      </c>
      <c r="H61" s="19" t="s">
        <v>279</v>
      </c>
      <c r="I61" s="19" t="n">
        <v>38</v>
      </c>
      <c r="J61" s="19" t="n">
        <v>40</v>
      </c>
      <c r="K61" s="19" t="s">
        <v>280</v>
      </c>
    </row>
    <row r="62" customFormat="false" ht="15" hidden="false" customHeight="true" outlineLevel="0" collapsed="false">
      <c r="B62" s="19" t="s">
        <v>347</v>
      </c>
      <c r="C62" s="19" t="s">
        <v>267</v>
      </c>
      <c r="D62" s="19" t="s">
        <v>268</v>
      </c>
      <c r="E62" s="19" t="s">
        <v>269</v>
      </c>
      <c r="F62" s="19" t="s">
        <v>53</v>
      </c>
      <c r="G62" s="19" t="s">
        <v>54</v>
      </c>
      <c r="H62" s="19" t="s">
        <v>279</v>
      </c>
      <c r="I62" s="19" t="n">
        <v>10</v>
      </c>
      <c r="J62" s="19" t="n">
        <v>24</v>
      </c>
      <c r="K62" s="19" t="s">
        <v>280</v>
      </c>
    </row>
    <row r="63" customFormat="false" ht="15" hidden="false" customHeight="true" outlineLevel="0" collapsed="false">
      <c r="B63" s="19" t="s">
        <v>348</v>
      </c>
      <c r="C63" s="19" t="s">
        <v>223</v>
      </c>
      <c r="D63" s="19" t="s">
        <v>224</v>
      </c>
      <c r="E63" s="19" t="s">
        <v>225</v>
      </c>
      <c r="F63" s="19" t="s">
        <v>58</v>
      </c>
      <c r="G63" s="19" t="s">
        <v>59</v>
      </c>
      <c r="H63" s="19" t="s">
        <v>289</v>
      </c>
      <c r="I63" s="19" t="n">
        <v>31</v>
      </c>
      <c r="J63" s="19" t="n">
        <v>40</v>
      </c>
      <c r="K63" s="19" t="s">
        <v>280</v>
      </c>
    </row>
    <row r="64" customFormat="false" ht="15" hidden="false" customHeight="true" outlineLevel="0" collapsed="false">
      <c r="B64" s="19" t="s">
        <v>349</v>
      </c>
      <c r="C64" s="19" t="s">
        <v>267</v>
      </c>
      <c r="D64" s="19" t="s">
        <v>268</v>
      </c>
      <c r="E64" s="19" t="s">
        <v>269</v>
      </c>
      <c r="F64" s="19" t="s">
        <v>62</v>
      </c>
      <c r="G64" s="19" t="s">
        <v>63</v>
      </c>
      <c r="H64" s="19" t="s">
        <v>312</v>
      </c>
      <c r="I64" s="19" t="n">
        <v>18</v>
      </c>
      <c r="J64" s="19" t="n">
        <v>24</v>
      </c>
      <c r="K64" s="19" t="s">
        <v>280</v>
      </c>
    </row>
    <row r="65" customFormat="false" ht="15" hidden="false" customHeight="true" outlineLevel="0" collapsed="false">
      <c r="B65" s="19" t="s">
        <v>350</v>
      </c>
      <c r="C65" s="19" t="s">
        <v>233</v>
      </c>
      <c r="D65" s="19" t="s">
        <v>234</v>
      </c>
      <c r="E65" s="19" t="s">
        <v>235</v>
      </c>
      <c r="F65" s="19" t="s">
        <v>62</v>
      </c>
      <c r="G65" s="19" t="s">
        <v>63</v>
      </c>
      <c r="H65" s="19" t="s">
        <v>283</v>
      </c>
      <c r="I65" s="19" t="n">
        <v>18</v>
      </c>
      <c r="J65" s="19" t="n">
        <v>40</v>
      </c>
      <c r="K65" s="19" t="s">
        <v>280</v>
      </c>
    </row>
    <row r="66" customFormat="false" ht="15" hidden="false" customHeight="true" outlineLevel="0" collapsed="false">
      <c r="B66" s="19" t="s">
        <v>351</v>
      </c>
      <c r="C66" s="19" t="s">
        <v>253</v>
      </c>
      <c r="D66" s="19" t="s">
        <v>254</v>
      </c>
      <c r="E66" s="19" t="s">
        <v>251</v>
      </c>
      <c r="F66" s="19" t="s">
        <v>62</v>
      </c>
      <c r="G66" s="19" t="s">
        <v>63</v>
      </c>
      <c r="H66" s="19" t="s">
        <v>312</v>
      </c>
      <c r="I66" s="19" t="n">
        <v>29</v>
      </c>
      <c r="J66" s="19" t="n">
        <v>32</v>
      </c>
      <c r="K66" s="19" t="s">
        <v>280</v>
      </c>
    </row>
    <row r="67" customFormat="false" ht="15" hidden="false" customHeight="true" outlineLevel="0" collapsed="false">
      <c r="B67" s="19" t="s">
        <v>352</v>
      </c>
      <c r="C67" s="19" t="s">
        <v>236</v>
      </c>
      <c r="D67" s="19" t="s">
        <v>237</v>
      </c>
      <c r="E67" s="19" t="s">
        <v>235</v>
      </c>
      <c r="F67" s="19" t="s">
        <v>58</v>
      </c>
      <c r="G67" s="19" t="s">
        <v>59</v>
      </c>
      <c r="H67" s="19" t="s">
        <v>285</v>
      </c>
      <c r="I67" s="19" t="n">
        <v>16</v>
      </c>
      <c r="J67" s="19" t="n">
        <v>40</v>
      </c>
      <c r="K67" s="19" t="s">
        <v>280</v>
      </c>
    </row>
    <row r="68" customFormat="false" ht="15" hidden="false" customHeight="true" outlineLevel="0" collapsed="false">
      <c r="B68" s="19" t="s">
        <v>353</v>
      </c>
      <c r="C68" s="19" t="s">
        <v>233</v>
      </c>
      <c r="D68" s="19" t="s">
        <v>234</v>
      </c>
      <c r="E68" s="19" t="s">
        <v>235</v>
      </c>
      <c r="F68" s="19" t="s">
        <v>58</v>
      </c>
      <c r="G68" s="19" t="s">
        <v>59</v>
      </c>
      <c r="H68" s="19" t="s">
        <v>287</v>
      </c>
      <c r="I68" s="19" t="n">
        <v>29</v>
      </c>
      <c r="J68" s="19" t="n">
        <v>40</v>
      </c>
      <c r="K68" s="19" t="s">
        <v>280</v>
      </c>
    </row>
    <row r="69" customFormat="false" ht="15" hidden="false" customHeight="true" outlineLevel="0" collapsed="false">
      <c r="B69" s="19" t="s">
        <v>354</v>
      </c>
      <c r="C69" s="19" t="s">
        <v>236</v>
      </c>
      <c r="D69" s="19" t="s">
        <v>237</v>
      </c>
      <c r="E69" s="19" t="s">
        <v>235</v>
      </c>
      <c r="F69" s="19" t="s">
        <v>53</v>
      </c>
      <c r="G69" s="19" t="s">
        <v>54</v>
      </c>
      <c r="H69" s="19" t="s">
        <v>291</v>
      </c>
      <c r="I69" s="19" t="n">
        <v>10</v>
      </c>
      <c r="J69" s="19" t="n">
        <v>40</v>
      </c>
      <c r="K69" s="19" t="s">
        <v>280</v>
      </c>
    </row>
    <row r="70" customFormat="false" ht="15" hidden="false" customHeight="true" outlineLevel="0" collapsed="false">
      <c r="B70" s="19" t="s">
        <v>355</v>
      </c>
      <c r="C70" s="19" t="s">
        <v>227</v>
      </c>
      <c r="D70" s="19" t="s">
        <v>228</v>
      </c>
      <c r="E70" s="19" t="s">
        <v>229</v>
      </c>
      <c r="F70" s="19" t="s">
        <v>42</v>
      </c>
      <c r="G70" s="19" t="s">
        <v>43</v>
      </c>
      <c r="H70" s="19" t="s">
        <v>312</v>
      </c>
      <c r="I70" s="19" t="n">
        <v>10</v>
      </c>
      <c r="J70" s="19" t="n">
        <v>40</v>
      </c>
      <c r="K70" s="19" t="s">
        <v>280</v>
      </c>
    </row>
    <row r="71" customFormat="false" ht="15" hidden="false" customHeight="true" outlineLevel="0" collapsed="false">
      <c r="B71" s="19" t="s">
        <v>356</v>
      </c>
      <c r="C71" s="19" t="s">
        <v>231</v>
      </c>
      <c r="D71" s="19" t="s">
        <v>232</v>
      </c>
      <c r="E71" s="19" t="s">
        <v>229</v>
      </c>
      <c r="F71" s="19" t="s">
        <v>53</v>
      </c>
      <c r="G71" s="19" t="s">
        <v>54</v>
      </c>
      <c r="H71" s="19" t="s">
        <v>300</v>
      </c>
      <c r="I71" s="19" t="n">
        <v>10</v>
      </c>
      <c r="J71" s="19" t="n">
        <v>40</v>
      </c>
      <c r="K71" s="19" t="s">
        <v>280</v>
      </c>
    </row>
    <row r="72" customFormat="false" ht="15" hidden="false" customHeight="true" outlineLevel="0" collapsed="false">
      <c r="B72" s="19" t="s">
        <v>357</v>
      </c>
      <c r="C72" s="19" t="s">
        <v>227</v>
      </c>
      <c r="D72" s="19" t="s">
        <v>228</v>
      </c>
      <c r="E72" s="19" t="s">
        <v>229</v>
      </c>
      <c r="F72" s="19" t="s">
        <v>42</v>
      </c>
      <c r="G72" s="19" t="s">
        <v>43</v>
      </c>
      <c r="H72" s="19" t="s">
        <v>309</v>
      </c>
      <c r="I72" s="19" t="n">
        <v>15</v>
      </c>
      <c r="J72" s="19" t="n">
        <v>40</v>
      </c>
      <c r="K72" s="19" t="s">
        <v>280</v>
      </c>
    </row>
    <row r="73" customFormat="false" ht="15" hidden="false" customHeight="true" outlineLevel="0" collapsed="false">
      <c r="B73" s="19" t="s">
        <v>358</v>
      </c>
      <c r="C73" s="19" t="s">
        <v>264</v>
      </c>
      <c r="D73" s="19" t="s">
        <v>265</v>
      </c>
      <c r="E73" s="19" t="s">
        <v>266</v>
      </c>
      <c r="F73" s="19" t="s">
        <v>48</v>
      </c>
      <c r="G73" s="19" t="s">
        <v>49</v>
      </c>
      <c r="H73" s="19" t="s">
        <v>285</v>
      </c>
      <c r="I73" s="19" t="n">
        <v>13</v>
      </c>
      <c r="J73" s="19" t="n">
        <v>40</v>
      </c>
      <c r="K73" s="19" t="s">
        <v>280</v>
      </c>
    </row>
    <row r="74" customFormat="false" ht="15" hidden="false" customHeight="true" outlineLevel="0" collapsed="false">
      <c r="B74" s="19" t="s">
        <v>359</v>
      </c>
      <c r="C74" s="19" t="s">
        <v>261</v>
      </c>
      <c r="D74" s="19" t="s">
        <v>262</v>
      </c>
      <c r="E74" s="19" t="s">
        <v>263</v>
      </c>
      <c r="F74" s="19" t="s">
        <v>48</v>
      </c>
      <c r="G74" s="19" t="s">
        <v>49</v>
      </c>
      <c r="H74" s="19" t="s">
        <v>289</v>
      </c>
      <c r="I74" s="19" t="n">
        <v>15</v>
      </c>
      <c r="J74" s="19" t="n">
        <v>40</v>
      </c>
      <c r="K74" s="19" t="s">
        <v>280</v>
      </c>
    </row>
    <row r="75" customFormat="false" ht="15" hidden="false" customHeight="true" outlineLevel="0" collapsed="false">
      <c r="B75" s="19" t="s">
        <v>360</v>
      </c>
      <c r="C75" s="19" t="s">
        <v>249</v>
      </c>
      <c r="D75" s="19" t="s">
        <v>250</v>
      </c>
      <c r="E75" s="19" t="s">
        <v>251</v>
      </c>
      <c r="F75" s="19" t="s">
        <v>53</v>
      </c>
      <c r="G75" s="19" t="s">
        <v>54</v>
      </c>
      <c r="H75" s="19" t="s">
        <v>283</v>
      </c>
      <c r="I75" s="19" t="n">
        <v>17</v>
      </c>
      <c r="J75" s="19" t="n">
        <v>40</v>
      </c>
      <c r="K75" s="19" t="s">
        <v>280</v>
      </c>
    </row>
    <row r="76" customFormat="false" ht="15" hidden="false" customHeight="true" outlineLevel="0" collapsed="false">
      <c r="B76" s="19" t="s">
        <v>361</v>
      </c>
      <c r="C76" s="19" t="s">
        <v>245</v>
      </c>
      <c r="D76" s="19" t="s">
        <v>246</v>
      </c>
      <c r="E76" s="19" t="s">
        <v>247</v>
      </c>
      <c r="F76" s="19" t="s">
        <v>48</v>
      </c>
      <c r="G76" s="19" t="s">
        <v>49</v>
      </c>
      <c r="H76" s="19" t="s">
        <v>309</v>
      </c>
      <c r="I76" s="19" t="n">
        <v>16</v>
      </c>
      <c r="J76" s="19" t="n">
        <v>40</v>
      </c>
      <c r="K76" s="19" t="s">
        <v>280</v>
      </c>
    </row>
    <row r="77" customFormat="false" ht="15" hidden="false" customHeight="true" outlineLevel="0" collapsed="false">
      <c r="B77" s="19" t="s">
        <v>362</v>
      </c>
      <c r="C77" s="19" t="s">
        <v>264</v>
      </c>
      <c r="D77" s="19" t="s">
        <v>265</v>
      </c>
      <c r="E77" s="19" t="s">
        <v>266</v>
      </c>
      <c r="F77" s="19" t="s">
        <v>58</v>
      </c>
      <c r="G77" s="19" t="s">
        <v>59</v>
      </c>
      <c r="H77" s="19" t="s">
        <v>287</v>
      </c>
      <c r="I77" s="19" t="n">
        <v>8</v>
      </c>
      <c r="J77" s="19" t="n">
        <v>40</v>
      </c>
      <c r="K77" s="19" t="s">
        <v>280</v>
      </c>
    </row>
    <row r="78" customFormat="false" ht="15" hidden="false" customHeight="true" outlineLevel="0" collapsed="false">
      <c r="B78" s="19" t="s">
        <v>363</v>
      </c>
      <c r="C78" s="19" t="s">
        <v>261</v>
      </c>
      <c r="D78" s="19" t="s">
        <v>262</v>
      </c>
      <c r="E78" s="19" t="s">
        <v>263</v>
      </c>
      <c r="F78" s="19" t="s">
        <v>58</v>
      </c>
      <c r="G78" s="19" t="s">
        <v>59</v>
      </c>
      <c r="H78" s="19" t="s">
        <v>289</v>
      </c>
      <c r="I78" s="19" t="n">
        <v>13</v>
      </c>
      <c r="J78" s="19" t="n">
        <v>40</v>
      </c>
      <c r="K78" s="19" t="s">
        <v>280</v>
      </c>
    </row>
    <row r="79" customFormat="false" ht="15" hidden="false" customHeight="true" outlineLevel="0" collapsed="false">
      <c r="B79" s="19" t="s">
        <v>364</v>
      </c>
      <c r="C79" s="19" t="s">
        <v>223</v>
      </c>
      <c r="D79" s="19" t="s">
        <v>224</v>
      </c>
      <c r="E79" s="19" t="s">
        <v>225</v>
      </c>
      <c r="F79" s="19" t="s">
        <v>58</v>
      </c>
      <c r="G79" s="19" t="s">
        <v>59</v>
      </c>
      <c r="H79" s="19" t="s">
        <v>287</v>
      </c>
      <c r="I79" s="19" t="n">
        <v>20</v>
      </c>
      <c r="J79" s="19" t="n">
        <v>40</v>
      </c>
      <c r="K79" s="19" t="s">
        <v>280</v>
      </c>
    </row>
    <row r="80" customFormat="false" ht="15" hidden="false" customHeight="true" outlineLevel="0" collapsed="false">
      <c r="B80" s="19" t="s">
        <v>365</v>
      </c>
      <c r="C80" s="19" t="s">
        <v>253</v>
      </c>
      <c r="D80" s="19" t="s">
        <v>254</v>
      </c>
      <c r="E80" s="19" t="s">
        <v>251</v>
      </c>
      <c r="F80" s="19" t="s">
        <v>58</v>
      </c>
      <c r="G80" s="19" t="s">
        <v>59</v>
      </c>
      <c r="H80" s="19" t="s">
        <v>291</v>
      </c>
      <c r="I80" s="19" t="n">
        <v>13</v>
      </c>
      <c r="J80" s="19" t="n">
        <v>32</v>
      </c>
      <c r="K80" s="19" t="s">
        <v>280</v>
      </c>
    </row>
    <row r="81" customFormat="false" ht="15" hidden="false" customHeight="true" outlineLevel="0" collapsed="false">
      <c r="B81" s="19" t="s">
        <v>366</v>
      </c>
      <c r="C81" s="19" t="s">
        <v>223</v>
      </c>
      <c r="D81" s="19" t="s">
        <v>224</v>
      </c>
      <c r="E81" s="19" t="s">
        <v>225</v>
      </c>
      <c r="F81" s="19" t="s">
        <v>66</v>
      </c>
      <c r="G81" s="19" t="s">
        <v>67</v>
      </c>
      <c r="H81" s="19" t="s">
        <v>279</v>
      </c>
      <c r="I81" s="19" t="n">
        <v>12</v>
      </c>
      <c r="J81" s="19" t="n">
        <v>40</v>
      </c>
      <c r="K81" s="19" t="s">
        <v>280</v>
      </c>
    </row>
    <row r="82" customFormat="false" ht="15" hidden="false" customHeight="true" outlineLevel="0" collapsed="false">
      <c r="B82" s="19" t="s">
        <v>367</v>
      </c>
      <c r="C82" s="19" t="s">
        <v>261</v>
      </c>
      <c r="D82" s="19" t="s">
        <v>262</v>
      </c>
      <c r="E82" s="19" t="s">
        <v>263</v>
      </c>
      <c r="F82" s="19" t="s">
        <v>53</v>
      </c>
      <c r="G82" s="19" t="s">
        <v>54</v>
      </c>
      <c r="H82" s="19" t="s">
        <v>309</v>
      </c>
      <c r="I82" s="19" t="n">
        <v>12</v>
      </c>
      <c r="J82" s="19" t="n">
        <v>40</v>
      </c>
      <c r="K82" s="19" t="s">
        <v>280</v>
      </c>
    </row>
    <row r="83" customFormat="false" ht="15" hidden="false" customHeight="true" outlineLevel="0" collapsed="false">
      <c r="B83" s="19" t="s">
        <v>368</v>
      </c>
      <c r="C83" s="19" t="s">
        <v>245</v>
      </c>
      <c r="D83" s="19" t="s">
        <v>246</v>
      </c>
      <c r="E83" s="19" t="s">
        <v>247</v>
      </c>
      <c r="F83" s="19" t="s">
        <v>58</v>
      </c>
      <c r="G83" s="19" t="s">
        <v>59</v>
      </c>
      <c r="H83" s="19" t="s">
        <v>283</v>
      </c>
      <c r="I83" s="19" t="n">
        <v>16</v>
      </c>
      <c r="J83" s="19" t="n">
        <v>40</v>
      </c>
      <c r="K83" s="19" t="s">
        <v>280</v>
      </c>
    </row>
    <row r="84" customFormat="false" ht="15" hidden="false" customHeight="true" outlineLevel="0" collapsed="false">
      <c r="B84" s="19" t="s">
        <v>369</v>
      </c>
      <c r="C84" s="19" t="s">
        <v>261</v>
      </c>
      <c r="D84" s="19" t="s">
        <v>262</v>
      </c>
      <c r="E84" s="19" t="s">
        <v>263</v>
      </c>
      <c r="F84" s="19" t="s">
        <v>62</v>
      </c>
      <c r="G84" s="19" t="s">
        <v>63</v>
      </c>
      <c r="H84" s="19" t="s">
        <v>309</v>
      </c>
      <c r="I84" s="19" t="n">
        <v>10</v>
      </c>
      <c r="J84" s="19" t="n">
        <v>40</v>
      </c>
      <c r="K84" s="19" t="s">
        <v>280</v>
      </c>
    </row>
    <row r="85" customFormat="false" ht="15" hidden="false" customHeight="true" outlineLevel="0" collapsed="false">
      <c r="B85" s="19" t="s">
        <v>370</v>
      </c>
      <c r="C85" s="19" t="s">
        <v>233</v>
      </c>
      <c r="D85" s="19" t="s">
        <v>234</v>
      </c>
      <c r="E85" s="19" t="s">
        <v>235</v>
      </c>
      <c r="F85" s="19" t="s">
        <v>48</v>
      </c>
      <c r="G85" s="19" t="s">
        <v>49</v>
      </c>
      <c r="H85" s="19" t="s">
        <v>331</v>
      </c>
      <c r="I85" s="19" t="n">
        <v>15</v>
      </c>
      <c r="J85" s="19" t="n">
        <v>40</v>
      </c>
      <c r="K85" s="19" t="s">
        <v>280</v>
      </c>
    </row>
    <row r="86" customFormat="false" ht="15" hidden="false" customHeight="true" outlineLevel="0" collapsed="false">
      <c r="B86" s="19" t="s">
        <v>371</v>
      </c>
      <c r="C86" s="19" t="s">
        <v>245</v>
      </c>
      <c r="D86" s="19" t="s">
        <v>246</v>
      </c>
      <c r="E86" s="19" t="s">
        <v>247</v>
      </c>
      <c r="F86" s="19" t="s">
        <v>48</v>
      </c>
      <c r="G86" s="19" t="s">
        <v>49</v>
      </c>
      <c r="H86" s="19" t="s">
        <v>300</v>
      </c>
      <c r="I86" s="19" t="n">
        <v>13</v>
      </c>
      <c r="J86" s="19" t="n">
        <v>40</v>
      </c>
      <c r="K86" s="19" t="s">
        <v>280</v>
      </c>
    </row>
    <row r="87" customFormat="false" ht="15" hidden="false" customHeight="true" outlineLevel="0" collapsed="false">
      <c r="B87" s="19" t="s">
        <v>372</v>
      </c>
      <c r="C87" s="19" t="s">
        <v>245</v>
      </c>
      <c r="D87" s="19" t="s">
        <v>246</v>
      </c>
      <c r="E87" s="19" t="s">
        <v>247</v>
      </c>
      <c r="F87" s="19" t="s">
        <v>58</v>
      </c>
      <c r="G87" s="19" t="s">
        <v>59</v>
      </c>
      <c r="H87" s="19" t="s">
        <v>285</v>
      </c>
      <c r="I87" s="19" t="n">
        <v>22</v>
      </c>
      <c r="J87" s="19" t="n">
        <v>40</v>
      </c>
      <c r="K87" s="19" t="s">
        <v>280</v>
      </c>
    </row>
    <row r="88" customFormat="false" ht="15" hidden="false" customHeight="true" outlineLevel="0" collapsed="false">
      <c r="B88" s="19" t="s">
        <v>373</v>
      </c>
      <c r="C88" s="19" t="s">
        <v>245</v>
      </c>
      <c r="D88" s="19" t="s">
        <v>246</v>
      </c>
      <c r="E88" s="19" t="s">
        <v>247</v>
      </c>
      <c r="F88" s="19" t="s">
        <v>66</v>
      </c>
      <c r="G88" s="19" t="s">
        <v>67</v>
      </c>
      <c r="H88" s="19" t="s">
        <v>279</v>
      </c>
      <c r="I88" s="19" t="n">
        <v>9</v>
      </c>
      <c r="J88" s="19" t="n">
        <v>40</v>
      </c>
      <c r="K88" s="19" t="s">
        <v>280</v>
      </c>
    </row>
    <row r="89" customFormat="false" ht="15" hidden="false" customHeight="true" outlineLevel="0" collapsed="false">
      <c r="B89" s="19" t="s">
        <v>374</v>
      </c>
      <c r="C89" s="19" t="s">
        <v>261</v>
      </c>
      <c r="D89" s="19" t="s">
        <v>262</v>
      </c>
      <c r="E89" s="19" t="s">
        <v>263</v>
      </c>
      <c r="F89" s="19" t="s">
        <v>58</v>
      </c>
      <c r="G89" s="19" t="s">
        <v>59</v>
      </c>
      <c r="H89" s="19" t="s">
        <v>300</v>
      </c>
      <c r="I89" s="19" t="n">
        <v>15</v>
      </c>
      <c r="J89" s="19" t="n">
        <v>40</v>
      </c>
      <c r="K89" s="19" t="s">
        <v>280</v>
      </c>
    </row>
    <row r="90" customFormat="false" ht="15" hidden="false" customHeight="true" outlineLevel="0" collapsed="false">
      <c r="B90" s="19" t="s">
        <v>375</v>
      </c>
      <c r="C90" s="19" t="s">
        <v>233</v>
      </c>
      <c r="D90" s="19" t="s">
        <v>234</v>
      </c>
      <c r="E90" s="19" t="s">
        <v>235</v>
      </c>
      <c r="F90" s="19" t="s">
        <v>48</v>
      </c>
      <c r="G90" s="19" t="s">
        <v>49</v>
      </c>
      <c r="H90" s="19" t="s">
        <v>291</v>
      </c>
      <c r="I90" s="19" t="n">
        <v>18</v>
      </c>
      <c r="J90" s="19" t="n">
        <v>40</v>
      </c>
      <c r="K90" s="19" t="s">
        <v>280</v>
      </c>
    </row>
    <row r="91" customFormat="false" ht="15" hidden="false" customHeight="true" outlineLevel="0" collapsed="false">
      <c r="B91" s="19" t="s">
        <v>376</v>
      </c>
      <c r="C91" s="19" t="s">
        <v>261</v>
      </c>
      <c r="D91" s="19" t="s">
        <v>262</v>
      </c>
      <c r="E91" s="19" t="s">
        <v>263</v>
      </c>
      <c r="F91" s="19" t="s">
        <v>42</v>
      </c>
      <c r="G91" s="19" t="s">
        <v>43</v>
      </c>
      <c r="H91" s="19" t="s">
        <v>287</v>
      </c>
      <c r="I91" s="19" t="n">
        <v>12</v>
      </c>
      <c r="J91" s="19" t="n">
        <v>40</v>
      </c>
      <c r="K91" s="19" t="s">
        <v>280</v>
      </c>
    </row>
    <row r="92" customFormat="false" ht="15" hidden="false" customHeight="true" outlineLevel="0" collapsed="false">
      <c r="B92" s="19" t="s">
        <v>377</v>
      </c>
      <c r="C92" s="19" t="s">
        <v>258</v>
      </c>
      <c r="D92" s="19" t="s">
        <v>259</v>
      </c>
      <c r="E92" s="19" t="s">
        <v>260</v>
      </c>
      <c r="F92" s="19" t="s">
        <v>42</v>
      </c>
      <c r="G92" s="19" t="s">
        <v>43</v>
      </c>
      <c r="H92" s="19" t="s">
        <v>285</v>
      </c>
      <c r="I92" s="19" t="n">
        <v>15</v>
      </c>
      <c r="J92" s="19" t="n">
        <v>40</v>
      </c>
      <c r="K92" s="19" t="s">
        <v>280</v>
      </c>
    </row>
    <row r="93" customFormat="false" ht="15" hidden="false" customHeight="true" outlineLevel="0" collapsed="false">
      <c r="B93" s="19" t="s">
        <v>378</v>
      </c>
      <c r="C93" s="19" t="s">
        <v>223</v>
      </c>
      <c r="D93" s="19" t="s">
        <v>224</v>
      </c>
      <c r="E93" s="19" t="s">
        <v>225</v>
      </c>
      <c r="F93" s="19" t="s">
        <v>66</v>
      </c>
      <c r="G93" s="19" t="s">
        <v>67</v>
      </c>
      <c r="H93" s="19" t="s">
        <v>285</v>
      </c>
      <c r="I93" s="19" t="n">
        <v>11</v>
      </c>
      <c r="J93" s="19" t="n">
        <v>40</v>
      </c>
      <c r="K93" s="19" t="s">
        <v>280</v>
      </c>
    </row>
    <row r="94" customFormat="false" ht="15" hidden="false" customHeight="true" outlineLevel="0" collapsed="false">
      <c r="B94" s="19" t="s">
        <v>379</v>
      </c>
      <c r="C94" s="19" t="s">
        <v>258</v>
      </c>
      <c r="D94" s="19" t="s">
        <v>259</v>
      </c>
      <c r="E94" s="19" t="s">
        <v>260</v>
      </c>
      <c r="F94" s="19" t="s">
        <v>58</v>
      </c>
      <c r="G94" s="19" t="s">
        <v>59</v>
      </c>
      <c r="H94" s="19" t="s">
        <v>293</v>
      </c>
      <c r="I94" s="19" t="n">
        <v>10</v>
      </c>
      <c r="J94" s="19" t="n">
        <v>40</v>
      </c>
      <c r="K94" s="19" t="s">
        <v>280</v>
      </c>
    </row>
    <row r="95" customFormat="false" ht="15" hidden="false" customHeight="true" outlineLevel="0" collapsed="false">
      <c r="B95" s="19" t="s">
        <v>380</v>
      </c>
      <c r="C95" s="19" t="s">
        <v>236</v>
      </c>
      <c r="D95" s="19" t="s">
        <v>237</v>
      </c>
      <c r="E95" s="19" t="s">
        <v>235</v>
      </c>
      <c r="F95" s="19" t="s">
        <v>42</v>
      </c>
      <c r="G95" s="19" t="s">
        <v>43</v>
      </c>
      <c r="H95" s="19" t="s">
        <v>300</v>
      </c>
      <c r="I95" s="19" t="n">
        <v>17</v>
      </c>
      <c r="J95" s="19" t="n">
        <v>40</v>
      </c>
      <c r="K95" s="19" t="s">
        <v>280</v>
      </c>
    </row>
    <row r="96" customFormat="false" ht="15" hidden="false" customHeight="true" outlineLevel="0" collapsed="false">
      <c r="B96" s="19" t="s">
        <v>381</v>
      </c>
      <c r="C96" s="19" t="s">
        <v>233</v>
      </c>
      <c r="D96" s="19" t="s">
        <v>234</v>
      </c>
      <c r="E96" s="19" t="s">
        <v>235</v>
      </c>
      <c r="F96" s="19" t="s">
        <v>58</v>
      </c>
      <c r="G96" s="19" t="s">
        <v>59</v>
      </c>
      <c r="H96" s="19" t="s">
        <v>283</v>
      </c>
      <c r="I96" s="19" t="n">
        <v>14</v>
      </c>
      <c r="J96" s="19" t="n">
        <v>40</v>
      </c>
      <c r="K96" s="19" t="s">
        <v>280</v>
      </c>
    </row>
    <row r="97" customFormat="false" ht="15" hidden="false" customHeight="true" outlineLevel="0" collapsed="false">
      <c r="B97" s="19" t="s">
        <v>382</v>
      </c>
      <c r="C97" s="19" t="s">
        <v>264</v>
      </c>
      <c r="D97" s="19" t="s">
        <v>265</v>
      </c>
      <c r="E97" s="19" t="s">
        <v>266</v>
      </c>
      <c r="F97" s="19" t="s">
        <v>66</v>
      </c>
      <c r="G97" s="19" t="s">
        <v>67</v>
      </c>
      <c r="H97" s="19" t="s">
        <v>309</v>
      </c>
      <c r="I97" s="19" t="n">
        <v>19</v>
      </c>
      <c r="J97" s="19" t="n">
        <v>40</v>
      </c>
      <c r="K97" s="19" t="s">
        <v>280</v>
      </c>
    </row>
    <row r="98" customFormat="false" ht="15" hidden="false" customHeight="true" outlineLevel="0" collapsed="false">
      <c r="B98" s="19" t="s">
        <v>383</v>
      </c>
      <c r="C98" s="19" t="s">
        <v>227</v>
      </c>
      <c r="D98" s="19" t="s">
        <v>228</v>
      </c>
      <c r="E98" s="19" t="s">
        <v>229</v>
      </c>
      <c r="F98" s="19" t="s">
        <v>48</v>
      </c>
      <c r="G98" s="19" t="s">
        <v>49</v>
      </c>
      <c r="H98" s="19" t="s">
        <v>287</v>
      </c>
      <c r="I98" s="19" t="n">
        <v>8</v>
      </c>
      <c r="J98" s="19" t="n">
        <v>40</v>
      </c>
      <c r="K98" s="19" t="s">
        <v>280</v>
      </c>
    </row>
    <row r="99" customFormat="false" ht="15" hidden="false" customHeight="true" outlineLevel="0" collapsed="false">
      <c r="B99" s="19" t="s">
        <v>384</v>
      </c>
      <c r="C99" s="19" t="s">
        <v>238</v>
      </c>
      <c r="D99" s="19" t="s">
        <v>239</v>
      </c>
      <c r="E99" s="19" t="s">
        <v>240</v>
      </c>
      <c r="F99" s="19" t="s">
        <v>58</v>
      </c>
      <c r="G99" s="19" t="s">
        <v>59</v>
      </c>
      <c r="H99" s="19" t="s">
        <v>312</v>
      </c>
      <c r="I99" s="19" t="n">
        <v>20</v>
      </c>
      <c r="J99" s="19" t="n">
        <v>40</v>
      </c>
      <c r="K99" s="19" t="s">
        <v>280</v>
      </c>
    </row>
    <row r="100" customFormat="false" ht="15" hidden="false" customHeight="true" outlineLevel="0" collapsed="false">
      <c r="B100" s="19" t="s">
        <v>385</v>
      </c>
      <c r="C100" s="19" t="s">
        <v>264</v>
      </c>
      <c r="D100" s="19" t="s">
        <v>265</v>
      </c>
      <c r="E100" s="19" t="s">
        <v>266</v>
      </c>
      <c r="F100" s="19" t="s">
        <v>58</v>
      </c>
      <c r="G100" s="19" t="s">
        <v>59</v>
      </c>
      <c r="H100" s="19" t="s">
        <v>295</v>
      </c>
      <c r="I100" s="19" t="n">
        <v>13</v>
      </c>
      <c r="J100" s="19" t="n">
        <v>40</v>
      </c>
      <c r="K100" s="19" t="s">
        <v>280</v>
      </c>
    </row>
    <row r="101" customFormat="false" ht="15" hidden="false" customHeight="true" outlineLevel="0" collapsed="false">
      <c r="B101" s="19" t="s">
        <v>386</v>
      </c>
      <c r="C101" s="19" t="s">
        <v>227</v>
      </c>
      <c r="D101" s="19" t="s">
        <v>228</v>
      </c>
      <c r="E101" s="19" t="s">
        <v>229</v>
      </c>
      <c r="F101" s="19" t="s">
        <v>62</v>
      </c>
      <c r="G101" s="19" t="s">
        <v>63</v>
      </c>
      <c r="H101" s="19" t="s">
        <v>293</v>
      </c>
      <c r="I101" s="19" t="n">
        <v>11</v>
      </c>
      <c r="J101" s="19" t="n">
        <v>40</v>
      </c>
      <c r="K101" s="19" t="s">
        <v>280</v>
      </c>
    </row>
    <row r="102" customFormat="false" ht="15" hidden="false" customHeight="true" outlineLevel="0" collapsed="false">
      <c r="B102" s="19" t="s">
        <v>387</v>
      </c>
      <c r="C102" s="19" t="s">
        <v>261</v>
      </c>
      <c r="D102" s="19" t="s">
        <v>262</v>
      </c>
      <c r="E102" s="19" t="s">
        <v>263</v>
      </c>
      <c r="F102" s="19" t="s">
        <v>42</v>
      </c>
      <c r="G102" s="19" t="s">
        <v>43</v>
      </c>
      <c r="H102" s="19" t="s">
        <v>293</v>
      </c>
      <c r="I102" s="19" t="n">
        <v>19</v>
      </c>
      <c r="J102" s="19" t="n">
        <v>40</v>
      </c>
      <c r="K102" s="19" t="s">
        <v>280</v>
      </c>
    </row>
    <row r="103" customFormat="false" ht="15" hidden="false" customHeight="true" outlineLevel="0" collapsed="false">
      <c r="B103" s="19" t="s">
        <v>388</v>
      </c>
      <c r="C103" s="19" t="s">
        <v>238</v>
      </c>
      <c r="D103" s="19" t="s">
        <v>239</v>
      </c>
      <c r="E103" s="19" t="s">
        <v>240</v>
      </c>
      <c r="F103" s="19" t="s">
        <v>66</v>
      </c>
      <c r="G103" s="19" t="s">
        <v>67</v>
      </c>
      <c r="H103" s="19" t="s">
        <v>300</v>
      </c>
      <c r="I103" s="19" t="n">
        <v>14</v>
      </c>
      <c r="J103" s="19" t="n">
        <v>40</v>
      </c>
      <c r="K103" s="19" t="s">
        <v>280</v>
      </c>
    </row>
    <row r="104" customFormat="false" ht="15" hidden="false" customHeight="true" outlineLevel="0" collapsed="false">
      <c r="B104" s="19" t="s">
        <v>389</v>
      </c>
      <c r="C104" s="19" t="s">
        <v>261</v>
      </c>
      <c r="D104" s="19" t="s">
        <v>262</v>
      </c>
      <c r="E104" s="19" t="s">
        <v>263</v>
      </c>
      <c r="F104" s="19" t="s">
        <v>58</v>
      </c>
      <c r="G104" s="19" t="s">
        <v>59</v>
      </c>
      <c r="H104" s="19" t="s">
        <v>331</v>
      </c>
      <c r="I104" s="19" t="n">
        <v>32</v>
      </c>
      <c r="J104" s="19" t="n">
        <v>40</v>
      </c>
      <c r="K104" s="19" t="s">
        <v>280</v>
      </c>
    </row>
    <row r="105" customFormat="false" ht="15" hidden="false" customHeight="true" outlineLevel="0" collapsed="false">
      <c r="B105" s="19" t="s">
        <v>390</v>
      </c>
      <c r="C105" s="19" t="s">
        <v>233</v>
      </c>
      <c r="D105" s="19" t="s">
        <v>234</v>
      </c>
      <c r="E105" s="19" t="s">
        <v>235</v>
      </c>
      <c r="F105" s="19" t="s">
        <v>66</v>
      </c>
      <c r="G105" s="19" t="s">
        <v>67</v>
      </c>
      <c r="H105" s="19" t="s">
        <v>289</v>
      </c>
      <c r="I105" s="19" t="n">
        <v>13</v>
      </c>
      <c r="J105" s="19" t="n">
        <v>40</v>
      </c>
      <c r="K105" s="19" t="s">
        <v>280</v>
      </c>
    </row>
    <row r="106" customFormat="false" ht="15" hidden="false" customHeight="true" outlineLevel="0" collapsed="false">
      <c r="B106" s="19" t="s">
        <v>391</v>
      </c>
      <c r="C106" s="19" t="s">
        <v>236</v>
      </c>
      <c r="D106" s="19" t="s">
        <v>237</v>
      </c>
      <c r="E106" s="19" t="s">
        <v>235</v>
      </c>
      <c r="F106" s="19" t="s">
        <v>48</v>
      </c>
      <c r="G106" s="19" t="s">
        <v>49</v>
      </c>
      <c r="H106" s="19" t="s">
        <v>309</v>
      </c>
      <c r="I106" s="19" t="n">
        <v>15</v>
      </c>
      <c r="J106" s="19" t="n">
        <v>40</v>
      </c>
      <c r="K106" s="19" t="s">
        <v>280</v>
      </c>
    </row>
    <row r="107" customFormat="false" ht="15" hidden="false" customHeight="true" outlineLevel="0" collapsed="false">
      <c r="B107" s="19" t="s">
        <v>392</v>
      </c>
      <c r="C107" s="19" t="s">
        <v>236</v>
      </c>
      <c r="D107" s="19" t="s">
        <v>237</v>
      </c>
      <c r="E107" s="19" t="s">
        <v>235</v>
      </c>
      <c r="F107" s="19" t="s">
        <v>42</v>
      </c>
      <c r="G107" s="19" t="s">
        <v>43</v>
      </c>
      <c r="H107" s="19" t="s">
        <v>285</v>
      </c>
      <c r="I107" s="19" t="n">
        <v>17</v>
      </c>
      <c r="J107" s="19" t="n">
        <v>40</v>
      </c>
      <c r="K107" s="19" t="s">
        <v>280</v>
      </c>
    </row>
    <row r="108" customFormat="false" ht="15" hidden="false" customHeight="true" outlineLevel="0" collapsed="false">
      <c r="B108" s="19" t="s">
        <v>393</v>
      </c>
      <c r="C108" s="19" t="s">
        <v>253</v>
      </c>
      <c r="D108" s="19" t="s">
        <v>254</v>
      </c>
      <c r="E108" s="19" t="s">
        <v>251</v>
      </c>
      <c r="F108" s="19" t="s">
        <v>66</v>
      </c>
      <c r="G108" s="19" t="s">
        <v>67</v>
      </c>
      <c r="H108" s="19" t="s">
        <v>295</v>
      </c>
      <c r="I108" s="19" t="n">
        <v>11</v>
      </c>
      <c r="J108" s="19" t="n">
        <v>32</v>
      </c>
      <c r="K108" s="19" t="s">
        <v>280</v>
      </c>
    </row>
    <row r="109" customFormat="false" ht="15" hidden="false" customHeight="true" outlineLevel="0" collapsed="false">
      <c r="B109" s="19" t="s">
        <v>394</v>
      </c>
      <c r="C109" s="19" t="s">
        <v>236</v>
      </c>
      <c r="D109" s="19" t="s">
        <v>237</v>
      </c>
      <c r="E109" s="19" t="s">
        <v>235</v>
      </c>
      <c r="F109" s="19" t="s">
        <v>42</v>
      </c>
      <c r="G109" s="19" t="s">
        <v>43</v>
      </c>
      <c r="H109" s="19" t="s">
        <v>293</v>
      </c>
      <c r="I109" s="19" t="n">
        <v>13</v>
      </c>
      <c r="J109" s="19" t="n">
        <v>40</v>
      </c>
      <c r="K109" s="19" t="s">
        <v>280</v>
      </c>
    </row>
    <row r="110" customFormat="false" ht="15" hidden="false" customHeight="true" outlineLevel="0" collapsed="false">
      <c r="B110" s="19" t="s">
        <v>395</v>
      </c>
      <c r="C110" s="19" t="s">
        <v>231</v>
      </c>
      <c r="D110" s="19" t="s">
        <v>232</v>
      </c>
      <c r="E110" s="19" t="s">
        <v>229</v>
      </c>
      <c r="F110" s="19" t="s">
        <v>48</v>
      </c>
      <c r="G110" s="19" t="s">
        <v>49</v>
      </c>
      <c r="H110" s="19" t="s">
        <v>312</v>
      </c>
      <c r="I110" s="19" t="n">
        <v>12</v>
      </c>
      <c r="J110" s="19" t="n">
        <v>40</v>
      </c>
      <c r="K110" s="19" t="s">
        <v>280</v>
      </c>
    </row>
    <row r="111" customFormat="false" ht="15" hidden="false" customHeight="true" outlineLevel="0" collapsed="false">
      <c r="B111" s="19" t="s">
        <v>396</v>
      </c>
      <c r="C111" s="19" t="s">
        <v>233</v>
      </c>
      <c r="D111" s="19" t="s">
        <v>234</v>
      </c>
      <c r="E111" s="19" t="s">
        <v>235</v>
      </c>
      <c r="F111" s="19" t="s">
        <v>53</v>
      </c>
      <c r="G111" s="19" t="s">
        <v>54</v>
      </c>
      <c r="H111" s="19" t="s">
        <v>295</v>
      </c>
      <c r="I111" s="19" t="n">
        <v>30</v>
      </c>
      <c r="J111" s="19" t="n">
        <v>40</v>
      </c>
      <c r="K111" s="19" t="s">
        <v>280</v>
      </c>
    </row>
    <row r="112" customFormat="false" ht="15" hidden="false" customHeight="true" outlineLevel="0" collapsed="false">
      <c r="B112" s="19" t="s">
        <v>397</v>
      </c>
      <c r="C112" s="19" t="s">
        <v>261</v>
      </c>
      <c r="D112" s="19" t="s">
        <v>262</v>
      </c>
      <c r="E112" s="19" t="s">
        <v>263</v>
      </c>
      <c r="F112" s="19" t="s">
        <v>53</v>
      </c>
      <c r="G112" s="19" t="s">
        <v>54</v>
      </c>
      <c r="H112" s="19" t="s">
        <v>295</v>
      </c>
      <c r="I112" s="19" t="n">
        <v>30</v>
      </c>
      <c r="J112" s="19" t="n">
        <v>40</v>
      </c>
      <c r="K112" s="19" t="s">
        <v>280</v>
      </c>
    </row>
    <row r="113" customFormat="false" ht="15" hidden="false" customHeight="true" outlineLevel="0" collapsed="false">
      <c r="B113" s="19" t="s">
        <v>398</v>
      </c>
      <c r="C113" s="19" t="s">
        <v>242</v>
      </c>
      <c r="D113" s="19" t="s">
        <v>243</v>
      </c>
      <c r="E113" s="19" t="s">
        <v>244</v>
      </c>
      <c r="F113" s="19" t="s">
        <v>62</v>
      </c>
      <c r="G113" s="19" t="s">
        <v>63</v>
      </c>
      <c r="H113" s="19" t="s">
        <v>300</v>
      </c>
      <c r="I113" s="19" t="n">
        <v>20</v>
      </c>
      <c r="J113" s="19" t="n">
        <v>40</v>
      </c>
      <c r="K113" s="19" t="s">
        <v>280</v>
      </c>
    </row>
    <row r="114" customFormat="false" ht="15" hidden="false" customHeight="true" outlineLevel="0" collapsed="false">
      <c r="B114" s="19" t="s">
        <v>399</v>
      </c>
      <c r="C114" s="19" t="s">
        <v>242</v>
      </c>
      <c r="D114" s="19" t="s">
        <v>243</v>
      </c>
      <c r="E114" s="19" t="s">
        <v>244</v>
      </c>
      <c r="F114" s="19" t="s">
        <v>66</v>
      </c>
      <c r="G114" s="19" t="s">
        <v>67</v>
      </c>
      <c r="H114" s="19" t="s">
        <v>279</v>
      </c>
      <c r="I114" s="19" t="n">
        <v>16</v>
      </c>
      <c r="J114" s="19" t="n">
        <v>40</v>
      </c>
      <c r="K114" s="19" t="s">
        <v>280</v>
      </c>
    </row>
    <row r="115" customFormat="false" ht="15" hidden="false" customHeight="true" outlineLevel="0" collapsed="false">
      <c r="B115" s="19" t="s">
        <v>400</v>
      </c>
      <c r="C115" s="19" t="s">
        <v>258</v>
      </c>
      <c r="D115" s="19" t="s">
        <v>259</v>
      </c>
      <c r="E115" s="19" t="s">
        <v>260</v>
      </c>
      <c r="F115" s="19" t="s">
        <v>58</v>
      </c>
      <c r="G115" s="19" t="s">
        <v>59</v>
      </c>
      <c r="H115" s="19" t="s">
        <v>283</v>
      </c>
      <c r="I115" s="19" t="n">
        <v>22</v>
      </c>
      <c r="J115" s="19" t="n">
        <v>40</v>
      </c>
      <c r="K115" s="19" t="s">
        <v>280</v>
      </c>
    </row>
    <row r="116" customFormat="false" ht="15" hidden="false" customHeight="true" outlineLevel="0" collapsed="false">
      <c r="B116" s="19" t="s">
        <v>401</v>
      </c>
      <c r="C116" s="19" t="s">
        <v>242</v>
      </c>
      <c r="D116" s="19" t="s">
        <v>243</v>
      </c>
      <c r="E116" s="19" t="s">
        <v>244</v>
      </c>
      <c r="F116" s="19" t="s">
        <v>58</v>
      </c>
      <c r="G116" s="19" t="s">
        <v>59</v>
      </c>
      <c r="H116" s="19" t="s">
        <v>279</v>
      </c>
      <c r="I116" s="19" t="n">
        <v>16</v>
      </c>
      <c r="J116" s="19" t="n">
        <v>40</v>
      </c>
      <c r="K116" s="19" t="s">
        <v>280</v>
      </c>
    </row>
    <row r="117" customFormat="false" ht="15" hidden="false" customHeight="true" outlineLevel="0" collapsed="false">
      <c r="B117" s="19" t="s">
        <v>402</v>
      </c>
      <c r="C117" s="19" t="s">
        <v>253</v>
      </c>
      <c r="D117" s="19" t="s">
        <v>254</v>
      </c>
      <c r="E117" s="19" t="s">
        <v>251</v>
      </c>
      <c r="F117" s="19" t="s">
        <v>58</v>
      </c>
      <c r="G117" s="19" t="s">
        <v>59</v>
      </c>
      <c r="H117" s="19" t="s">
        <v>289</v>
      </c>
      <c r="I117" s="19" t="n">
        <v>17</v>
      </c>
      <c r="J117" s="19" t="n">
        <v>32</v>
      </c>
      <c r="K117" s="19" t="s">
        <v>280</v>
      </c>
    </row>
    <row r="118" customFormat="false" ht="15" hidden="false" customHeight="true" outlineLevel="0" collapsed="false">
      <c r="B118" s="19" t="s">
        <v>403</v>
      </c>
      <c r="C118" s="19" t="s">
        <v>249</v>
      </c>
      <c r="D118" s="19" t="s">
        <v>250</v>
      </c>
      <c r="E118" s="19" t="s">
        <v>251</v>
      </c>
      <c r="F118" s="19" t="s">
        <v>66</v>
      </c>
      <c r="G118" s="19" t="s">
        <v>67</v>
      </c>
      <c r="H118" s="19" t="s">
        <v>291</v>
      </c>
      <c r="I118" s="19" t="n">
        <v>12</v>
      </c>
      <c r="J118" s="19" t="n">
        <v>40</v>
      </c>
      <c r="K118" s="19" t="s">
        <v>280</v>
      </c>
    </row>
    <row r="119" customFormat="false" ht="15" hidden="false" customHeight="true" outlineLevel="0" collapsed="false">
      <c r="B119" s="19" t="s">
        <v>404</v>
      </c>
      <c r="C119" s="19" t="s">
        <v>242</v>
      </c>
      <c r="D119" s="19" t="s">
        <v>243</v>
      </c>
      <c r="E119" s="19" t="s">
        <v>244</v>
      </c>
      <c r="F119" s="19" t="s">
        <v>58</v>
      </c>
      <c r="G119" s="19" t="s">
        <v>59</v>
      </c>
      <c r="H119" s="19" t="s">
        <v>285</v>
      </c>
      <c r="I119" s="19" t="n">
        <v>14</v>
      </c>
      <c r="J119" s="19" t="n">
        <v>40</v>
      </c>
      <c r="K119" s="19" t="s">
        <v>280</v>
      </c>
    </row>
    <row r="120" customFormat="false" ht="15" hidden="false" customHeight="true" outlineLevel="0" collapsed="false">
      <c r="B120" s="19" t="s">
        <v>405</v>
      </c>
      <c r="C120" s="19" t="s">
        <v>267</v>
      </c>
      <c r="D120" s="19" t="s">
        <v>268</v>
      </c>
      <c r="E120" s="19" t="s">
        <v>269</v>
      </c>
      <c r="F120" s="19" t="s">
        <v>53</v>
      </c>
      <c r="G120" s="19" t="s">
        <v>54</v>
      </c>
      <c r="H120" s="19" t="s">
        <v>309</v>
      </c>
      <c r="I120" s="19" t="n">
        <v>21</v>
      </c>
      <c r="J120" s="19" t="n">
        <v>24</v>
      </c>
      <c r="K120" s="19" t="s">
        <v>280</v>
      </c>
    </row>
    <row r="121" customFormat="false" ht="15" hidden="false" customHeight="true" outlineLevel="0" collapsed="false">
      <c r="B121" s="19" t="s">
        <v>406</v>
      </c>
      <c r="C121" s="19" t="s">
        <v>255</v>
      </c>
      <c r="D121" s="19" t="s">
        <v>256</v>
      </c>
      <c r="E121" s="19" t="s">
        <v>41</v>
      </c>
      <c r="F121" s="19" t="s">
        <v>66</v>
      </c>
      <c r="G121" s="19" t="s">
        <v>67</v>
      </c>
      <c r="H121" s="19" t="s">
        <v>331</v>
      </c>
      <c r="I121" s="19" t="n">
        <v>38</v>
      </c>
      <c r="J121" s="19" t="n">
        <v>40</v>
      </c>
      <c r="K121" s="19" t="s">
        <v>280</v>
      </c>
    </row>
    <row r="122" customFormat="false" ht="15" hidden="false" customHeight="true" outlineLevel="0" collapsed="false">
      <c r="B122" s="19" t="s">
        <v>407</v>
      </c>
      <c r="C122" s="19" t="s">
        <v>258</v>
      </c>
      <c r="D122" s="19" t="s">
        <v>259</v>
      </c>
      <c r="E122" s="19" t="s">
        <v>260</v>
      </c>
      <c r="F122" s="19" t="s">
        <v>66</v>
      </c>
      <c r="G122" s="19" t="s">
        <v>67</v>
      </c>
      <c r="H122" s="19" t="s">
        <v>285</v>
      </c>
      <c r="I122" s="19" t="n">
        <v>10</v>
      </c>
      <c r="J122" s="19" t="n">
        <v>40</v>
      </c>
      <c r="K122" s="19" t="s">
        <v>280</v>
      </c>
    </row>
    <row r="123" customFormat="false" ht="15" hidden="false" customHeight="true" outlineLevel="0" collapsed="false">
      <c r="B123" s="19" t="s">
        <v>408</v>
      </c>
      <c r="C123" s="19" t="s">
        <v>255</v>
      </c>
      <c r="D123" s="19" t="s">
        <v>256</v>
      </c>
      <c r="E123" s="19" t="s">
        <v>41</v>
      </c>
      <c r="F123" s="19" t="s">
        <v>48</v>
      </c>
      <c r="G123" s="19" t="s">
        <v>49</v>
      </c>
      <c r="H123" s="19" t="s">
        <v>309</v>
      </c>
      <c r="I123" s="19" t="n">
        <v>21</v>
      </c>
      <c r="J123" s="19" t="n">
        <v>40</v>
      </c>
      <c r="K123" s="19" t="s">
        <v>280</v>
      </c>
    </row>
    <row r="124" customFormat="false" ht="15" hidden="false" customHeight="true" outlineLevel="0" collapsed="false">
      <c r="B124" s="19" t="s">
        <v>409</v>
      </c>
      <c r="C124" s="19" t="s">
        <v>227</v>
      </c>
      <c r="D124" s="19" t="s">
        <v>228</v>
      </c>
      <c r="E124" s="19" t="s">
        <v>229</v>
      </c>
      <c r="F124" s="19" t="s">
        <v>62</v>
      </c>
      <c r="G124" s="19" t="s">
        <v>63</v>
      </c>
      <c r="H124" s="19" t="s">
        <v>285</v>
      </c>
      <c r="I124" s="19" t="n">
        <v>13</v>
      </c>
      <c r="J124" s="19" t="n">
        <v>40</v>
      </c>
      <c r="K124" s="19" t="s">
        <v>280</v>
      </c>
    </row>
    <row r="125" customFormat="false" ht="15" hidden="false" customHeight="true" outlineLevel="0" collapsed="false">
      <c r="B125" s="19" t="s">
        <v>410</v>
      </c>
      <c r="C125" s="19" t="s">
        <v>242</v>
      </c>
      <c r="D125" s="19" t="s">
        <v>243</v>
      </c>
      <c r="E125" s="19" t="s">
        <v>244</v>
      </c>
      <c r="F125" s="19" t="s">
        <v>53</v>
      </c>
      <c r="G125" s="19" t="s">
        <v>54</v>
      </c>
      <c r="H125" s="19" t="s">
        <v>283</v>
      </c>
      <c r="I125" s="19" t="n">
        <v>14</v>
      </c>
      <c r="J125" s="19" t="n">
        <v>40</v>
      </c>
      <c r="K125" s="19" t="s">
        <v>280</v>
      </c>
    </row>
    <row r="126" customFormat="false" ht="15" hidden="false" customHeight="true" outlineLevel="0" collapsed="false">
      <c r="B126" s="19" t="s">
        <v>411</v>
      </c>
      <c r="C126" s="19" t="s">
        <v>242</v>
      </c>
      <c r="D126" s="19" t="s">
        <v>243</v>
      </c>
      <c r="E126" s="19" t="s">
        <v>244</v>
      </c>
      <c r="F126" s="19" t="s">
        <v>58</v>
      </c>
      <c r="G126" s="19" t="s">
        <v>59</v>
      </c>
      <c r="H126" s="19" t="s">
        <v>287</v>
      </c>
      <c r="I126" s="19" t="n">
        <v>22</v>
      </c>
      <c r="J126" s="19" t="n">
        <v>40</v>
      </c>
      <c r="K126" s="19" t="s">
        <v>280</v>
      </c>
    </row>
    <row r="127" customFormat="false" ht="15" hidden="false" customHeight="true" outlineLevel="0" collapsed="false">
      <c r="B127" s="19" t="s">
        <v>412</v>
      </c>
      <c r="C127" s="19" t="s">
        <v>255</v>
      </c>
      <c r="D127" s="19" t="s">
        <v>256</v>
      </c>
      <c r="E127" s="19" t="s">
        <v>41</v>
      </c>
      <c r="F127" s="19" t="s">
        <v>53</v>
      </c>
      <c r="G127" s="19" t="s">
        <v>54</v>
      </c>
      <c r="H127" s="19" t="s">
        <v>289</v>
      </c>
      <c r="I127" s="19" t="n">
        <v>20</v>
      </c>
      <c r="J127" s="19" t="n">
        <v>40</v>
      </c>
      <c r="K127" s="19" t="s">
        <v>280</v>
      </c>
    </row>
    <row r="128" customFormat="false" ht="15" hidden="false" customHeight="true" outlineLevel="0" collapsed="false">
      <c r="B128" s="19" t="s">
        <v>413</v>
      </c>
      <c r="C128" s="19" t="s">
        <v>267</v>
      </c>
      <c r="D128" s="19" t="s">
        <v>268</v>
      </c>
      <c r="E128" s="19" t="s">
        <v>269</v>
      </c>
      <c r="F128" s="19" t="s">
        <v>62</v>
      </c>
      <c r="G128" s="19" t="s">
        <v>63</v>
      </c>
      <c r="H128" s="19" t="s">
        <v>331</v>
      </c>
      <c r="I128" s="19" t="n">
        <v>5</v>
      </c>
      <c r="J128" s="19" t="n">
        <v>24</v>
      </c>
      <c r="K128" s="19" t="s">
        <v>280</v>
      </c>
    </row>
    <row r="129" customFormat="false" ht="15" hidden="false" customHeight="true" outlineLevel="0" collapsed="false">
      <c r="B129" s="19" t="s">
        <v>414</v>
      </c>
      <c r="C129" s="19" t="s">
        <v>242</v>
      </c>
      <c r="D129" s="19" t="s">
        <v>243</v>
      </c>
      <c r="E129" s="19" t="s">
        <v>244</v>
      </c>
      <c r="F129" s="19" t="s">
        <v>58</v>
      </c>
      <c r="G129" s="19" t="s">
        <v>59</v>
      </c>
      <c r="H129" s="19" t="s">
        <v>312</v>
      </c>
      <c r="I129" s="19" t="n">
        <v>10</v>
      </c>
      <c r="J129" s="19" t="n">
        <v>40</v>
      </c>
      <c r="K129" s="19" t="s">
        <v>280</v>
      </c>
    </row>
    <row r="130" customFormat="false" ht="15" hidden="false" customHeight="true" outlineLevel="0" collapsed="false">
      <c r="B130" s="19" t="s">
        <v>415</v>
      </c>
      <c r="C130" s="19" t="s">
        <v>255</v>
      </c>
      <c r="D130" s="19" t="s">
        <v>256</v>
      </c>
      <c r="E130" s="19" t="s">
        <v>41</v>
      </c>
      <c r="F130" s="19" t="s">
        <v>48</v>
      </c>
      <c r="G130" s="19" t="s">
        <v>49</v>
      </c>
      <c r="H130" s="19" t="s">
        <v>287</v>
      </c>
      <c r="I130" s="19" t="n">
        <v>14</v>
      </c>
      <c r="J130" s="19" t="n">
        <v>40</v>
      </c>
      <c r="K130" s="19" t="s">
        <v>280</v>
      </c>
    </row>
    <row r="131" customFormat="false" ht="15" hidden="false" customHeight="true" outlineLevel="0" collapsed="false">
      <c r="B131" s="19" t="s">
        <v>416</v>
      </c>
      <c r="C131" s="19" t="s">
        <v>231</v>
      </c>
      <c r="D131" s="19" t="s">
        <v>232</v>
      </c>
      <c r="E131" s="19" t="s">
        <v>229</v>
      </c>
      <c r="F131" s="19" t="s">
        <v>42</v>
      </c>
      <c r="G131" s="19" t="s">
        <v>43</v>
      </c>
      <c r="H131" s="19" t="s">
        <v>291</v>
      </c>
      <c r="I131" s="19" t="n">
        <v>22</v>
      </c>
      <c r="J131" s="19" t="n">
        <v>40</v>
      </c>
      <c r="K131" s="19" t="s">
        <v>280</v>
      </c>
    </row>
    <row r="132" customFormat="false" ht="15" hidden="false" customHeight="true" outlineLevel="0" collapsed="false">
      <c r="B132" s="19" t="s">
        <v>417</v>
      </c>
      <c r="C132" s="19" t="s">
        <v>258</v>
      </c>
      <c r="D132" s="19" t="s">
        <v>259</v>
      </c>
      <c r="E132" s="19" t="s">
        <v>260</v>
      </c>
      <c r="F132" s="19" t="s">
        <v>58</v>
      </c>
      <c r="G132" s="19" t="s">
        <v>59</v>
      </c>
      <c r="H132" s="19" t="s">
        <v>287</v>
      </c>
      <c r="I132" s="19" t="n">
        <v>17</v>
      </c>
      <c r="J132" s="19" t="n">
        <v>40</v>
      </c>
      <c r="K132" s="19" t="s">
        <v>280</v>
      </c>
    </row>
    <row r="133" customFormat="false" ht="15" hidden="false" customHeight="true" outlineLevel="0" collapsed="false">
      <c r="B133" s="19" t="s">
        <v>418</v>
      </c>
      <c r="C133" s="19" t="s">
        <v>242</v>
      </c>
      <c r="D133" s="19" t="s">
        <v>243</v>
      </c>
      <c r="E133" s="19" t="s">
        <v>244</v>
      </c>
      <c r="F133" s="19" t="s">
        <v>48</v>
      </c>
      <c r="G133" s="19" t="s">
        <v>49</v>
      </c>
      <c r="H133" s="19" t="s">
        <v>285</v>
      </c>
      <c r="I133" s="19" t="n">
        <v>15</v>
      </c>
      <c r="J133" s="19" t="n">
        <v>40</v>
      </c>
      <c r="K133" s="19" t="s">
        <v>280</v>
      </c>
    </row>
    <row r="134" customFormat="false" ht="15" hidden="false" customHeight="true" outlineLevel="0" collapsed="false">
      <c r="B134" s="19" t="s">
        <v>419</v>
      </c>
      <c r="C134" s="19" t="s">
        <v>249</v>
      </c>
      <c r="D134" s="19" t="s">
        <v>250</v>
      </c>
      <c r="E134" s="19" t="s">
        <v>251</v>
      </c>
      <c r="F134" s="19" t="s">
        <v>66</v>
      </c>
      <c r="G134" s="19" t="s">
        <v>67</v>
      </c>
      <c r="H134" s="19" t="s">
        <v>289</v>
      </c>
      <c r="I134" s="19" t="n">
        <v>12</v>
      </c>
      <c r="J134" s="19" t="n">
        <v>40</v>
      </c>
      <c r="K134" s="19" t="s">
        <v>280</v>
      </c>
    </row>
    <row r="135" customFormat="false" ht="15" hidden="false" customHeight="true" outlineLevel="0" collapsed="false">
      <c r="B135" s="19" t="s">
        <v>420</v>
      </c>
      <c r="C135" s="19" t="s">
        <v>249</v>
      </c>
      <c r="D135" s="19" t="s">
        <v>250</v>
      </c>
      <c r="E135" s="19" t="s">
        <v>251</v>
      </c>
      <c r="F135" s="19" t="s">
        <v>62</v>
      </c>
      <c r="G135" s="19" t="s">
        <v>63</v>
      </c>
      <c r="H135" s="19" t="s">
        <v>312</v>
      </c>
      <c r="I135" s="19" t="n">
        <v>32</v>
      </c>
      <c r="J135" s="19" t="n">
        <v>40</v>
      </c>
      <c r="K135" s="19" t="s">
        <v>280</v>
      </c>
    </row>
    <row r="136" customFormat="false" ht="15" hidden="false" customHeight="true" outlineLevel="0" collapsed="false">
      <c r="B136" s="19" t="s">
        <v>421</v>
      </c>
      <c r="C136" s="19" t="s">
        <v>245</v>
      </c>
      <c r="D136" s="19" t="s">
        <v>246</v>
      </c>
      <c r="E136" s="19" t="s">
        <v>247</v>
      </c>
      <c r="F136" s="19" t="s">
        <v>48</v>
      </c>
      <c r="G136" s="19" t="s">
        <v>49</v>
      </c>
      <c r="H136" s="19" t="s">
        <v>291</v>
      </c>
      <c r="I136" s="19" t="n">
        <v>15</v>
      </c>
      <c r="J136" s="19" t="n">
        <v>40</v>
      </c>
      <c r="K136" s="19" t="s">
        <v>280</v>
      </c>
    </row>
    <row r="137" customFormat="false" ht="15" hidden="false" customHeight="true" outlineLevel="0" collapsed="false">
      <c r="B137" s="19" t="s">
        <v>422</v>
      </c>
      <c r="C137" s="19" t="s">
        <v>255</v>
      </c>
      <c r="D137" s="19" t="s">
        <v>256</v>
      </c>
      <c r="E137" s="19" t="s">
        <v>41</v>
      </c>
      <c r="F137" s="19" t="s">
        <v>42</v>
      </c>
      <c r="G137" s="19" t="s">
        <v>43</v>
      </c>
      <c r="H137" s="19" t="s">
        <v>293</v>
      </c>
      <c r="I137" s="19" t="n">
        <v>21</v>
      </c>
      <c r="J137" s="19" t="n">
        <v>40</v>
      </c>
      <c r="K137" s="19" t="s">
        <v>280</v>
      </c>
    </row>
    <row r="138" customFormat="false" ht="15" hidden="false" customHeight="true" outlineLevel="0" collapsed="false">
      <c r="B138" s="19" t="s">
        <v>423</v>
      </c>
      <c r="C138" s="19" t="s">
        <v>231</v>
      </c>
      <c r="D138" s="19" t="s">
        <v>232</v>
      </c>
      <c r="E138" s="19" t="s">
        <v>229</v>
      </c>
      <c r="F138" s="19" t="s">
        <v>48</v>
      </c>
      <c r="G138" s="19" t="s">
        <v>49</v>
      </c>
      <c r="H138" s="19" t="s">
        <v>295</v>
      </c>
      <c r="I138" s="19" t="n">
        <v>21</v>
      </c>
      <c r="J138" s="19" t="n">
        <v>40</v>
      </c>
      <c r="K138" s="19" t="s">
        <v>280</v>
      </c>
    </row>
    <row r="139" customFormat="false" ht="15" hidden="false" customHeight="true" outlineLevel="0" collapsed="false">
      <c r="B139" s="19" t="s">
        <v>424</v>
      </c>
      <c r="C139" s="19" t="s">
        <v>258</v>
      </c>
      <c r="D139" s="19" t="s">
        <v>259</v>
      </c>
      <c r="E139" s="19" t="s">
        <v>260</v>
      </c>
      <c r="F139" s="19" t="s">
        <v>58</v>
      </c>
      <c r="G139" s="19" t="s">
        <v>59</v>
      </c>
      <c r="H139" s="19" t="s">
        <v>300</v>
      </c>
      <c r="I139" s="19" t="n">
        <v>13</v>
      </c>
      <c r="J139" s="19" t="n">
        <v>40</v>
      </c>
      <c r="K139" s="19" t="s">
        <v>280</v>
      </c>
    </row>
    <row r="140" customFormat="false" ht="15" hidden="false" customHeight="true" outlineLevel="0" collapsed="false">
      <c r="B140" s="19" t="s">
        <v>425</v>
      </c>
      <c r="C140" s="19" t="s">
        <v>258</v>
      </c>
      <c r="D140" s="19" t="s">
        <v>259</v>
      </c>
      <c r="E140" s="19" t="s">
        <v>260</v>
      </c>
      <c r="F140" s="19" t="s">
        <v>48</v>
      </c>
      <c r="G140" s="19" t="s">
        <v>49</v>
      </c>
      <c r="H140" s="19" t="s">
        <v>283</v>
      </c>
      <c r="I140" s="19" t="n">
        <v>13</v>
      </c>
      <c r="J140" s="19" t="n">
        <v>40</v>
      </c>
      <c r="K140" s="19" t="s">
        <v>280</v>
      </c>
    </row>
    <row r="141" customFormat="false" ht="15" hidden="false" customHeight="true" outlineLevel="0" collapsed="false">
      <c r="B141" s="19" t="s">
        <v>426</v>
      </c>
      <c r="C141" s="19" t="s">
        <v>264</v>
      </c>
      <c r="D141" s="19" t="s">
        <v>265</v>
      </c>
      <c r="E141" s="19" t="s">
        <v>266</v>
      </c>
      <c r="F141" s="19" t="s">
        <v>62</v>
      </c>
      <c r="G141" s="19" t="s">
        <v>63</v>
      </c>
      <c r="H141" s="19" t="s">
        <v>285</v>
      </c>
      <c r="I141" s="19" t="n">
        <v>10</v>
      </c>
      <c r="J141" s="19" t="n">
        <v>40</v>
      </c>
      <c r="K141" s="19" t="s">
        <v>280</v>
      </c>
    </row>
    <row r="142" customFormat="false" ht="15" hidden="false" customHeight="true" outlineLevel="0" collapsed="false">
      <c r="B142" s="19" t="s">
        <v>427</v>
      </c>
      <c r="C142" s="19" t="s">
        <v>249</v>
      </c>
      <c r="D142" s="19" t="s">
        <v>250</v>
      </c>
      <c r="E142" s="19" t="s">
        <v>251</v>
      </c>
      <c r="F142" s="19" t="s">
        <v>42</v>
      </c>
      <c r="G142" s="19" t="s">
        <v>43</v>
      </c>
      <c r="H142" s="19" t="s">
        <v>300</v>
      </c>
      <c r="I142" s="19" t="n">
        <v>37</v>
      </c>
      <c r="J142" s="19" t="n">
        <v>40</v>
      </c>
      <c r="K142" s="19" t="s">
        <v>280</v>
      </c>
    </row>
    <row r="143" customFormat="false" ht="15" hidden="false" customHeight="true" outlineLevel="0" collapsed="false">
      <c r="B143" s="19" t="s">
        <v>428</v>
      </c>
      <c r="C143" s="19" t="s">
        <v>233</v>
      </c>
      <c r="D143" s="19" t="s">
        <v>234</v>
      </c>
      <c r="E143" s="19" t="s">
        <v>235</v>
      </c>
      <c r="F143" s="19" t="s">
        <v>66</v>
      </c>
      <c r="G143" s="19" t="s">
        <v>67</v>
      </c>
      <c r="H143" s="19" t="s">
        <v>293</v>
      </c>
      <c r="I143" s="19" t="n">
        <v>13</v>
      </c>
      <c r="J143" s="19" t="n">
        <v>40</v>
      </c>
      <c r="K143" s="19" t="s">
        <v>280</v>
      </c>
    </row>
    <row r="144" customFormat="false" ht="15" hidden="false" customHeight="true" outlineLevel="0" collapsed="false">
      <c r="B144" s="19" t="s">
        <v>429</v>
      </c>
      <c r="C144" s="19" t="s">
        <v>249</v>
      </c>
      <c r="D144" s="19" t="s">
        <v>250</v>
      </c>
      <c r="E144" s="19" t="s">
        <v>251</v>
      </c>
      <c r="F144" s="19" t="s">
        <v>58</v>
      </c>
      <c r="G144" s="19" t="s">
        <v>59</v>
      </c>
      <c r="H144" s="19" t="s">
        <v>279</v>
      </c>
      <c r="I144" s="19" t="n">
        <v>35</v>
      </c>
      <c r="J144" s="19" t="n">
        <v>40</v>
      </c>
      <c r="K144" s="19" t="s">
        <v>280</v>
      </c>
    </row>
    <row r="145" customFormat="false" ht="15" hidden="false" customHeight="true" outlineLevel="0" collapsed="false">
      <c r="B145" s="19" t="s">
        <v>430</v>
      </c>
      <c r="C145" s="19" t="s">
        <v>231</v>
      </c>
      <c r="D145" s="19" t="s">
        <v>232</v>
      </c>
      <c r="E145" s="19" t="s">
        <v>229</v>
      </c>
      <c r="F145" s="19" t="s">
        <v>58</v>
      </c>
      <c r="G145" s="19" t="s">
        <v>59</v>
      </c>
      <c r="H145" s="19" t="s">
        <v>309</v>
      </c>
      <c r="I145" s="19" t="n">
        <v>17</v>
      </c>
      <c r="J145" s="19" t="n">
        <v>40</v>
      </c>
      <c r="K145" s="19" t="s">
        <v>280</v>
      </c>
    </row>
    <row r="146" customFormat="false" ht="15" hidden="false" customHeight="true" outlineLevel="0" collapsed="false">
      <c r="B146" s="19" t="s">
        <v>431</v>
      </c>
      <c r="C146" s="19" t="s">
        <v>223</v>
      </c>
      <c r="D146" s="19" t="s">
        <v>224</v>
      </c>
      <c r="E146" s="19" t="s">
        <v>225</v>
      </c>
      <c r="F146" s="19" t="s">
        <v>53</v>
      </c>
      <c r="G146" s="19" t="s">
        <v>54</v>
      </c>
      <c r="H146" s="19" t="s">
        <v>295</v>
      </c>
      <c r="I146" s="19" t="n">
        <v>15</v>
      </c>
      <c r="J146" s="19" t="n">
        <v>40</v>
      </c>
      <c r="K146" s="19" t="s">
        <v>280</v>
      </c>
    </row>
    <row r="147" customFormat="false" ht="15" hidden="false" customHeight="true" outlineLevel="0" collapsed="false">
      <c r="B147" s="19" t="s">
        <v>432</v>
      </c>
      <c r="C147" s="19" t="s">
        <v>267</v>
      </c>
      <c r="D147" s="19" t="s">
        <v>268</v>
      </c>
      <c r="E147" s="19" t="s">
        <v>269</v>
      </c>
      <c r="F147" s="19" t="s">
        <v>58</v>
      </c>
      <c r="G147" s="19" t="s">
        <v>59</v>
      </c>
      <c r="H147" s="19" t="s">
        <v>289</v>
      </c>
      <c r="I147" s="19" t="n">
        <v>6</v>
      </c>
      <c r="J147" s="19" t="n">
        <v>24</v>
      </c>
      <c r="K147" s="19" t="s">
        <v>280</v>
      </c>
    </row>
    <row r="148" customFormat="false" ht="15" hidden="false" customHeight="true" outlineLevel="0" collapsed="false">
      <c r="B148" s="19" t="s">
        <v>433</v>
      </c>
      <c r="C148" s="19" t="s">
        <v>264</v>
      </c>
      <c r="D148" s="19" t="s">
        <v>265</v>
      </c>
      <c r="E148" s="19" t="s">
        <v>266</v>
      </c>
      <c r="F148" s="19" t="s">
        <v>48</v>
      </c>
      <c r="G148" s="19" t="s">
        <v>49</v>
      </c>
      <c r="H148" s="19" t="s">
        <v>291</v>
      </c>
      <c r="I148" s="19" t="n">
        <v>10</v>
      </c>
      <c r="J148" s="19" t="n">
        <v>40</v>
      </c>
      <c r="K148" s="19" t="s">
        <v>280</v>
      </c>
    </row>
    <row r="149" customFormat="false" ht="15" hidden="false" customHeight="true" outlineLevel="0" collapsed="false">
      <c r="B149" s="19" t="s">
        <v>434</v>
      </c>
      <c r="C149" s="19" t="s">
        <v>255</v>
      </c>
      <c r="D149" s="19" t="s">
        <v>256</v>
      </c>
      <c r="E149" s="19" t="s">
        <v>41</v>
      </c>
      <c r="F149" s="19" t="s">
        <v>53</v>
      </c>
      <c r="G149" s="19" t="s">
        <v>54</v>
      </c>
      <c r="H149" s="19" t="s">
        <v>279</v>
      </c>
      <c r="I149" s="19" t="n">
        <v>9</v>
      </c>
      <c r="J149" s="19" t="n">
        <v>40</v>
      </c>
      <c r="K149" s="19" t="s">
        <v>280</v>
      </c>
    </row>
    <row r="150" customFormat="false" ht="15" hidden="false" customHeight="true" outlineLevel="0" collapsed="false">
      <c r="B150" s="19" t="s">
        <v>435</v>
      </c>
      <c r="C150" s="19" t="s">
        <v>255</v>
      </c>
      <c r="D150" s="19" t="s">
        <v>256</v>
      </c>
      <c r="E150" s="19" t="s">
        <v>41</v>
      </c>
      <c r="F150" s="19" t="s">
        <v>62</v>
      </c>
      <c r="G150" s="19" t="s">
        <v>63</v>
      </c>
      <c r="H150" s="19" t="s">
        <v>283</v>
      </c>
      <c r="I150" s="19" t="n">
        <v>13</v>
      </c>
      <c r="J150" s="19" t="n">
        <v>40</v>
      </c>
      <c r="K150" s="19" t="s">
        <v>280</v>
      </c>
    </row>
    <row r="151" customFormat="false" ht="15" hidden="false" customHeight="true" outlineLevel="0" collapsed="false">
      <c r="B151" s="19" t="s">
        <v>436</v>
      </c>
      <c r="C151" s="19" t="s">
        <v>245</v>
      </c>
      <c r="D151" s="19" t="s">
        <v>246</v>
      </c>
      <c r="E151" s="19" t="s">
        <v>247</v>
      </c>
      <c r="F151" s="19" t="s">
        <v>48</v>
      </c>
      <c r="G151" s="19" t="s">
        <v>49</v>
      </c>
      <c r="H151" s="19" t="s">
        <v>285</v>
      </c>
      <c r="I151" s="19" t="n">
        <v>13</v>
      </c>
      <c r="J151" s="19" t="n">
        <v>40</v>
      </c>
      <c r="K151" s="19" t="s">
        <v>280</v>
      </c>
    </row>
    <row r="152" customFormat="false" ht="15" hidden="false" customHeight="true" outlineLevel="0" collapsed="false">
      <c r="B152" s="19" t="s">
        <v>437</v>
      </c>
      <c r="C152" s="19" t="s">
        <v>245</v>
      </c>
      <c r="D152" s="19" t="s">
        <v>246</v>
      </c>
      <c r="E152" s="19" t="s">
        <v>247</v>
      </c>
      <c r="F152" s="19" t="s">
        <v>58</v>
      </c>
      <c r="G152" s="19" t="s">
        <v>59</v>
      </c>
      <c r="H152" s="19" t="s">
        <v>293</v>
      </c>
      <c r="I152" s="19" t="n">
        <v>28</v>
      </c>
      <c r="J152" s="19" t="n">
        <v>40</v>
      </c>
      <c r="K152" s="19" t="s">
        <v>280</v>
      </c>
    </row>
    <row r="153" customFormat="false" ht="15" hidden="false" customHeight="true" outlineLevel="0" collapsed="false">
      <c r="B153" s="19" t="s">
        <v>438</v>
      </c>
      <c r="C153" s="19" t="s">
        <v>233</v>
      </c>
      <c r="D153" s="19" t="s">
        <v>234</v>
      </c>
      <c r="E153" s="19" t="s">
        <v>235</v>
      </c>
      <c r="F153" s="19" t="s">
        <v>58</v>
      </c>
      <c r="G153" s="19" t="s">
        <v>59</v>
      </c>
      <c r="H153" s="19" t="s">
        <v>293</v>
      </c>
      <c r="I153" s="19" t="n">
        <v>12</v>
      </c>
      <c r="J153" s="19" t="n">
        <v>40</v>
      </c>
      <c r="K153" s="19" t="s">
        <v>280</v>
      </c>
    </row>
    <row r="154" customFormat="false" ht="15" hidden="false" customHeight="true" outlineLevel="0" collapsed="false">
      <c r="B154" s="19" t="s">
        <v>439</v>
      </c>
      <c r="C154" s="19" t="s">
        <v>245</v>
      </c>
      <c r="D154" s="19" t="s">
        <v>246</v>
      </c>
      <c r="E154" s="19" t="s">
        <v>247</v>
      </c>
      <c r="F154" s="19" t="s">
        <v>58</v>
      </c>
      <c r="G154" s="19" t="s">
        <v>59</v>
      </c>
      <c r="H154" s="19" t="s">
        <v>309</v>
      </c>
      <c r="I154" s="19" t="n">
        <v>17</v>
      </c>
      <c r="J154" s="19" t="n">
        <v>40</v>
      </c>
      <c r="K154" s="19" t="s">
        <v>280</v>
      </c>
    </row>
    <row r="155" customFormat="false" ht="15" hidden="false" customHeight="true" outlineLevel="0" collapsed="false">
      <c r="B155" s="19" t="s">
        <v>440</v>
      </c>
      <c r="C155" s="19" t="s">
        <v>233</v>
      </c>
      <c r="D155" s="19" t="s">
        <v>234</v>
      </c>
      <c r="E155" s="19" t="s">
        <v>235</v>
      </c>
      <c r="F155" s="19" t="s">
        <v>66</v>
      </c>
      <c r="G155" s="19" t="s">
        <v>67</v>
      </c>
      <c r="H155" s="19" t="s">
        <v>312</v>
      </c>
      <c r="I155" s="19" t="n">
        <v>10</v>
      </c>
      <c r="J155" s="19" t="n">
        <v>40</v>
      </c>
      <c r="K155" s="19" t="s">
        <v>280</v>
      </c>
    </row>
    <row r="156" customFormat="false" ht="15" hidden="false" customHeight="true" outlineLevel="0" collapsed="false">
      <c r="B156" s="19" t="s">
        <v>441</v>
      </c>
      <c r="C156" s="19" t="s">
        <v>255</v>
      </c>
      <c r="D156" s="19" t="s">
        <v>256</v>
      </c>
      <c r="E156" s="19" t="s">
        <v>41</v>
      </c>
      <c r="F156" s="19" t="s">
        <v>62</v>
      </c>
      <c r="G156" s="19" t="s">
        <v>63</v>
      </c>
      <c r="H156" s="19" t="s">
        <v>289</v>
      </c>
      <c r="I156" s="19" t="n">
        <v>19</v>
      </c>
      <c r="J156" s="19" t="n">
        <v>40</v>
      </c>
      <c r="K156" s="19" t="s">
        <v>280</v>
      </c>
    </row>
    <row r="157" customFormat="false" ht="15" hidden="false" customHeight="true" outlineLevel="0" collapsed="false">
      <c r="B157" s="19" t="s">
        <v>442</v>
      </c>
      <c r="C157" s="19" t="s">
        <v>264</v>
      </c>
      <c r="D157" s="19" t="s">
        <v>265</v>
      </c>
      <c r="E157" s="19" t="s">
        <v>266</v>
      </c>
      <c r="F157" s="19" t="s">
        <v>42</v>
      </c>
      <c r="G157" s="19" t="s">
        <v>43</v>
      </c>
      <c r="H157" s="19" t="s">
        <v>291</v>
      </c>
      <c r="I157" s="19" t="n">
        <v>10</v>
      </c>
      <c r="J157" s="19" t="n">
        <v>40</v>
      </c>
      <c r="K157" s="19" t="s">
        <v>280</v>
      </c>
    </row>
    <row r="158" customFormat="false" ht="15" hidden="false" customHeight="true" outlineLevel="0" collapsed="false">
      <c r="B158" s="19" t="s">
        <v>443</v>
      </c>
      <c r="C158" s="19" t="s">
        <v>223</v>
      </c>
      <c r="D158" s="19" t="s">
        <v>224</v>
      </c>
      <c r="E158" s="19" t="s">
        <v>225</v>
      </c>
      <c r="F158" s="19" t="s">
        <v>62</v>
      </c>
      <c r="G158" s="19" t="s">
        <v>63</v>
      </c>
      <c r="H158" s="19" t="s">
        <v>331</v>
      </c>
      <c r="I158" s="19" t="n">
        <v>14</v>
      </c>
      <c r="J158" s="19" t="n">
        <v>40</v>
      </c>
      <c r="K158" s="19" t="s">
        <v>280</v>
      </c>
    </row>
    <row r="159" customFormat="false" ht="15" hidden="false" customHeight="true" outlineLevel="0" collapsed="false">
      <c r="B159" s="19" t="s">
        <v>444</v>
      </c>
      <c r="C159" s="19" t="s">
        <v>258</v>
      </c>
      <c r="D159" s="19" t="s">
        <v>259</v>
      </c>
      <c r="E159" s="19" t="s">
        <v>260</v>
      </c>
      <c r="F159" s="19" t="s">
        <v>53</v>
      </c>
      <c r="G159" s="19" t="s">
        <v>54</v>
      </c>
      <c r="H159" s="19" t="s">
        <v>309</v>
      </c>
      <c r="I159" s="19" t="n">
        <v>13</v>
      </c>
      <c r="J159" s="19" t="n">
        <v>40</v>
      </c>
      <c r="K159" s="19" t="s">
        <v>280</v>
      </c>
    </row>
    <row r="160" customFormat="false" ht="15" hidden="false" customHeight="true" outlineLevel="0" collapsed="false">
      <c r="B160" s="19" t="s">
        <v>445</v>
      </c>
      <c r="C160" s="19" t="s">
        <v>249</v>
      </c>
      <c r="D160" s="19" t="s">
        <v>250</v>
      </c>
      <c r="E160" s="19" t="s">
        <v>251</v>
      </c>
      <c r="F160" s="19" t="s">
        <v>62</v>
      </c>
      <c r="G160" s="19" t="s">
        <v>63</v>
      </c>
      <c r="H160" s="19" t="s">
        <v>309</v>
      </c>
      <c r="I160" s="19" t="n">
        <v>15</v>
      </c>
      <c r="J160" s="19" t="n">
        <v>40</v>
      </c>
      <c r="K160" s="19" t="s">
        <v>280</v>
      </c>
    </row>
    <row r="161" customFormat="false" ht="15" hidden="false" customHeight="true" outlineLevel="0" collapsed="false">
      <c r="B161" s="19" t="s">
        <v>446</v>
      </c>
      <c r="C161" s="19" t="s">
        <v>231</v>
      </c>
      <c r="D161" s="19" t="s">
        <v>232</v>
      </c>
      <c r="E161" s="19" t="s">
        <v>229</v>
      </c>
      <c r="F161" s="19" t="s">
        <v>42</v>
      </c>
      <c r="G161" s="19" t="s">
        <v>43</v>
      </c>
      <c r="H161" s="19" t="s">
        <v>289</v>
      </c>
      <c r="I161" s="19" t="n">
        <v>38</v>
      </c>
      <c r="J161" s="19" t="n">
        <v>40</v>
      </c>
      <c r="K161" s="19" t="s">
        <v>280</v>
      </c>
    </row>
    <row r="162" customFormat="false" ht="15" hidden="false" customHeight="true" outlineLevel="0" collapsed="false">
      <c r="B162" s="19" t="s">
        <v>447</v>
      </c>
      <c r="C162" s="19" t="s">
        <v>242</v>
      </c>
      <c r="D162" s="19" t="s">
        <v>243</v>
      </c>
      <c r="E162" s="19" t="s">
        <v>244</v>
      </c>
      <c r="F162" s="19" t="s">
        <v>48</v>
      </c>
      <c r="G162" s="19" t="s">
        <v>49</v>
      </c>
      <c r="H162" s="19" t="s">
        <v>283</v>
      </c>
      <c r="I162" s="19" t="n">
        <v>13</v>
      </c>
      <c r="J162" s="19" t="n">
        <v>40</v>
      </c>
      <c r="K162" s="19" t="s">
        <v>280</v>
      </c>
    </row>
    <row r="163" customFormat="false" ht="15" hidden="false" customHeight="true" outlineLevel="0" collapsed="false">
      <c r="B163" s="19" t="s">
        <v>448</v>
      </c>
      <c r="C163" s="19" t="s">
        <v>238</v>
      </c>
      <c r="D163" s="19" t="s">
        <v>239</v>
      </c>
      <c r="E163" s="19" t="s">
        <v>240</v>
      </c>
      <c r="F163" s="19" t="s">
        <v>62</v>
      </c>
      <c r="G163" s="19" t="s">
        <v>63</v>
      </c>
      <c r="H163" s="19" t="s">
        <v>312</v>
      </c>
      <c r="I163" s="19" t="n">
        <v>14</v>
      </c>
      <c r="J163" s="19" t="n">
        <v>40</v>
      </c>
      <c r="K163" s="19" t="s">
        <v>280</v>
      </c>
    </row>
    <row r="164" customFormat="false" ht="15" hidden="false" customHeight="true" outlineLevel="0" collapsed="false">
      <c r="B164" s="19" t="s">
        <v>449</v>
      </c>
      <c r="C164" s="19" t="s">
        <v>236</v>
      </c>
      <c r="D164" s="19" t="s">
        <v>237</v>
      </c>
      <c r="E164" s="19" t="s">
        <v>235</v>
      </c>
      <c r="F164" s="19" t="s">
        <v>42</v>
      </c>
      <c r="G164" s="19" t="s">
        <v>43</v>
      </c>
      <c r="H164" s="19" t="s">
        <v>287</v>
      </c>
      <c r="I164" s="19" t="n">
        <v>20</v>
      </c>
      <c r="J164" s="19" t="n">
        <v>40</v>
      </c>
      <c r="K164" s="19" t="s">
        <v>280</v>
      </c>
    </row>
    <row r="165" customFormat="false" ht="15" hidden="false" customHeight="true" outlineLevel="0" collapsed="false">
      <c r="B165" s="19" t="s">
        <v>450</v>
      </c>
      <c r="C165" s="19" t="s">
        <v>236</v>
      </c>
      <c r="D165" s="19" t="s">
        <v>237</v>
      </c>
      <c r="E165" s="19" t="s">
        <v>235</v>
      </c>
      <c r="F165" s="19" t="s">
        <v>58</v>
      </c>
      <c r="G165" s="19" t="s">
        <v>59</v>
      </c>
      <c r="H165" s="19" t="s">
        <v>291</v>
      </c>
      <c r="I165" s="19" t="n">
        <v>10</v>
      </c>
      <c r="J165" s="19" t="n">
        <v>40</v>
      </c>
      <c r="K165" s="19" t="s">
        <v>280</v>
      </c>
    </row>
    <row r="166" customFormat="false" ht="15" hidden="false" customHeight="true" outlineLevel="0" collapsed="false">
      <c r="B166" s="19" t="s">
        <v>451</v>
      </c>
      <c r="C166" s="19" t="s">
        <v>255</v>
      </c>
      <c r="D166" s="19" t="s">
        <v>256</v>
      </c>
      <c r="E166" s="19" t="s">
        <v>41</v>
      </c>
      <c r="F166" s="19" t="s">
        <v>48</v>
      </c>
      <c r="G166" s="19" t="s">
        <v>49</v>
      </c>
      <c r="H166" s="19" t="s">
        <v>279</v>
      </c>
      <c r="I166" s="19" t="n">
        <v>18</v>
      </c>
      <c r="J166" s="19" t="n">
        <v>40</v>
      </c>
      <c r="K166" s="19" t="s">
        <v>280</v>
      </c>
    </row>
    <row r="167" customFormat="false" ht="15" hidden="false" customHeight="true" outlineLevel="0" collapsed="false">
      <c r="B167" s="19" t="s">
        <v>452</v>
      </c>
      <c r="C167" s="19" t="s">
        <v>264</v>
      </c>
      <c r="D167" s="19" t="s">
        <v>265</v>
      </c>
      <c r="E167" s="19" t="s">
        <v>266</v>
      </c>
      <c r="F167" s="19" t="s">
        <v>42</v>
      </c>
      <c r="G167" s="19" t="s">
        <v>43</v>
      </c>
      <c r="H167" s="19" t="s">
        <v>331</v>
      </c>
      <c r="I167" s="19" t="n">
        <v>18</v>
      </c>
      <c r="J167" s="19" t="n">
        <v>40</v>
      </c>
      <c r="K167" s="19" t="s">
        <v>280</v>
      </c>
    </row>
    <row r="168" customFormat="false" ht="15" hidden="false" customHeight="true" outlineLevel="0" collapsed="false">
      <c r="B168" s="19" t="s">
        <v>453</v>
      </c>
      <c r="C168" s="19" t="s">
        <v>227</v>
      </c>
      <c r="D168" s="19" t="s">
        <v>228</v>
      </c>
      <c r="E168" s="19" t="s">
        <v>229</v>
      </c>
      <c r="F168" s="19" t="s">
        <v>48</v>
      </c>
      <c r="G168" s="19" t="s">
        <v>49</v>
      </c>
      <c r="H168" s="19" t="s">
        <v>291</v>
      </c>
      <c r="I168" s="19" t="n">
        <v>32</v>
      </c>
      <c r="J168" s="19" t="n">
        <v>40</v>
      </c>
      <c r="K168" s="19" t="s">
        <v>280</v>
      </c>
    </row>
    <row r="169" customFormat="false" ht="15" hidden="false" customHeight="true" outlineLevel="0" collapsed="false">
      <c r="B169" s="19" t="s">
        <v>454</v>
      </c>
      <c r="C169" s="19" t="s">
        <v>242</v>
      </c>
      <c r="D169" s="19" t="s">
        <v>243</v>
      </c>
      <c r="E169" s="19" t="s">
        <v>244</v>
      </c>
      <c r="F169" s="19" t="s">
        <v>62</v>
      </c>
      <c r="G169" s="19" t="s">
        <v>63</v>
      </c>
      <c r="H169" s="19" t="s">
        <v>291</v>
      </c>
      <c r="I169" s="19"/>
      <c r="J169" s="19" t="n">
        <v>40</v>
      </c>
      <c r="K169" s="19" t="s">
        <v>280</v>
      </c>
    </row>
    <row r="170" customFormat="false" ht="15" hidden="false" customHeight="true" outlineLevel="0" collapsed="false">
      <c r="B170" s="19" t="s">
        <v>455</v>
      </c>
      <c r="C170" s="19" t="s">
        <v>242</v>
      </c>
      <c r="D170" s="19" t="s">
        <v>243</v>
      </c>
      <c r="E170" s="19" t="s">
        <v>244</v>
      </c>
      <c r="F170" s="19" t="s">
        <v>53</v>
      </c>
      <c r="G170" s="19" t="s">
        <v>54</v>
      </c>
      <c r="H170" s="19" t="s">
        <v>312</v>
      </c>
      <c r="I170" s="19" t="n">
        <v>9</v>
      </c>
      <c r="J170" s="19" t="n">
        <v>40</v>
      </c>
      <c r="K170" s="19" t="s">
        <v>280</v>
      </c>
    </row>
    <row r="171" customFormat="false" ht="15" hidden="false" customHeight="true" outlineLevel="0" collapsed="false">
      <c r="B171" s="19" t="s">
        <v>456</v>
      </c>
      <c r="C171" s="19" t="s">
        <v>227</v>
      </c>
      <c r="D171" s="19" t="s">
        <v>228</v>
      </c>
      <c r="E171" s="19" t="s">
        <v>229</v>
      </c>
      <c r="F171" s="19" t="s">
        <v>48</v>
      </c>
      <c r="G171" s="19" t="s">
        <v>49</v>
      </c>
      <c r="H171" s="19" t="s">
        <v>295</v>
      </c>
      <c r="I171" s="19" t="n">
        <v>11</v>
      </c>
      <c r="J171" s="19" t="n">
        <v>40</v>
      </c>
      <c r="K171" s="19" t="s">
        <v>280</v>
      </c>
    </row>
    <row r="172" customFormat="false" ht="15" hidden="false" customHeight="true" outlineLevel="0" collapsed="false">
      <c r="B172" s="19" t="s">
        <v>457</v>
      </c>
      <c r="C172" s="19" t="s">
        <v>249</v>
      </c>
      <c r="D172" s="19" t="s">
        <v>250</v>
      </c>
      <c r="E172" s="19" t="s">
        <v>251</v>
      </c>
      <c r="F172" s="19" t="s">
        <v>62</v>
      </c>
      <c r="G172" s="19" t="s">
        <v>63</v>
      </c>
      <c r="H172" s="19" t="s">
        <v>331</v>
      </c>
      <c r="I172" s="19" t="n">
        <v>15</v>
      </c>
      <c r="J172" s="19" t="n">
        <v>40</v>
      </c>
      <c r="K172" s="19" t="s">
        <v>280</v>
      </c>
    </row>
    <row r="173" customFormat="false" ht="15" hidden="false" customHeight="true" outlineLevel="0" collapsed="false">
      <c r="B173" s="19" t="s">
        <v>458</v>
      </c>
      <c r="C173" s="19" t="s">
        <v>242</v>
      </c>
      <c r="D173" s="19" t="s">
        <v>243</v>
      </c>
      <c r="E173" s="19" t="s">
        <v>244</v>
      </c>
      <c r="F173" s="19" t="s">
        <v>58</v>
      </c>
      <c r="G173" s="19" t="s">
        <v>59</v>
      </c>
      <c r="H173" s="19" t="s">
        <v>331</v>
      </c>
      <c r="I173" s="19" t="n">
        <v>13</v>
      </c>
      <c r="J173" s="19" t="n">
        <v>40</v>
      </c>
      <c r="K173" s="19" t="s">
        <v>280</v>
      </c>
    </row>
    <row r="174" customFormat="false" ht="15" hidden="false" customHeight="true" outlineLevel="0" collapsed="false">
      <c r="B174" s="19" t="s">
        <v>459</v>
      </c>
      <c r="C174" s="19" t="s">
        <v>255</v>
      </c>
      <c r="D174" s="19" t="s">
        <v>256</v>
      </c>
      <c r="E174" s="19" t="s">
        <v>41</v>
      </c>
      <c r="F174" s="19" t="s">
        <v>62</v>
      </c>
      <c r="G174" s="19" t="s">
        <v>63</v>
      </c>
      <c r="H174" s="19" t="s">
        <v>309</v>
      </c>
      <c r="I174" s="19" t="n">
        <v>17</v>
      </c>
      <c r="J174" s="19" t="n">
        <v>40</v>
      </c>
      <c r="K174" s="19" t="s">
        <v>280</v>
      </c>
    </row>
    <row r="175" customFormat="false" ht="15" hidden="false" customHeight="true" outlineLevel="0" collapsed="false">
      <c r="B175" s="19" t="s">
        <v>460</v>
      </c>
      <c r="C175" s="19" t="s">
        <v>267</v>
      </c>
      <c r="D175" s="19" t="s">
        <v>268</v>
      </c>
      <c r="E175" s="19" t="s">
        <v>269</v>
      </c>
      <c r="F175" s="19" t="s">
        <v>48</v>
      </c>
      <c r="G175" s="19" t="s">
        <v>49</v>
      </c>
      <c r="H175" s="19" t="s">
        <v>285</v>
      </c>
      <c r="I175" s="19" t="n">
        <v>20</v>
      </c>
      <c r="J175" s="19" t="n">
        <v>24</v>
      </c>
      <c r="K175" s="19" t="s">
        <v>280</v>
      </c>
    </row>
    <row r="176" customFormat="false" ht="15" hidden="false" customHeight="true" outlineLevel="0" collapsed="false">
      <c r="B176" s="19" t="s">
        <v>461</v>
      </c>
      <c r="C176" s="19" t="s">
        <v>238</v>
      </c>
      <c r="D176" s="19" t="s">
        <v>239</v>
      </c>
      <c r="E176" s="19" t="s">
        <v>240</v>
      </c>
      <c r="F176" s="19" t="s">
        <v>42</v>
      </c>
      <c r="G176" s="19" t="s">
        <v>43</v>
      </c>
      <c r="H176" s="19" t="s">
        <v>289</v>
      </c>
      <c r="I176" s="19" t="n">
        <v>15</v>
      </c>
      <c r="J176" s="19" t="n">
        <v>40</v>
      </c>
      <c r="K176" s="19" t="s">
        <v>280</v>
      </c>
    </row>
    <row r="177" customFormat="false" ht="15" hidden="false" customHeight="true" outlineLevel="0" collapsed="false">
      <c r="B177" s="19" t="s">
        <v>462</v>
      </c>
      <c r="C177" s="19" t="s">
        <v>249</v>
      </c>
      <c r="D177" s="19" t="s">
        <v>250</v>
      </c>
      <c r="E177" s="19" t="s">
        <v>251</v>
      </c>
      <c r="F177" s="19" t="s">
        <v>53</v>
      </c>
      <c r="G177" s="19" t="s">
        <v>54</v>
      </c>
      <c r="H177" s="19" t="s">
        <v>295</v>
      </c>
      <c r="I177" s="19" t="n">
        <v>8</v>
      </c>
      <c r="J177" s="19" t="n">
        <v>40</v>
      </c>
      <c r="K177" s="19" t="s">
        <v>280</v>
      </c>
    </row>
    <row r="178" customFormat="false" ht="15" hidden="false" customHeight="true" outlineLevel="0" collapsed="false">
      <c r="B178" s="19" t="s">
        <v>463</v>
      </c>
      <c r="C178" s="19" t="s">
        <v>253</v>
      </c>
      <c r="D178" s="19" t="s">
        <v>254</v>
      </c>
      <c r="E178" s="19" t="s">
        <v>251</v>
      </c>
      <c r="F178" s="19" t="s">
        <v>53</v>
      </c>
      <c r="G178" s="19" t="s">
        <v>54</v>
      </c>
      <c r="H178" s="19" t="s">
        <v>331</v>
      </c>
      <c r="I178" s="19" t="n">
        <v>30</v>
      </c>
      <c r="J178" s="19" t="n">
        <v>32</v>
      </c>
      <c r="K178" s="19" t="s">
        <v>280</v>
      </c>
    </row>
    <row r="179" customFormat="false" ht="15" hidden="false" customHeight="true" outlineLevel="0" collapsed="false">
      <c r="B179" s="19" t="s">
        <v>464</v>
      </c>
      <c r="C179" s="19" t="s">
        <v>258</v>
      </c>
      <c r="D179" s="19" t="s">
        <v>259</v>
      </c>
      <c r="E179" s="19" t="s">
        <v>260</v>
      </c>
      <c r="F179" s="19" t="s">
        <v>66</v>
      </c>
      <c r="G179" s="19" t="s">
        <v>67</v>
      </c>
      <c r="H179" s="19" t="s">
        <v>287</v>
      </c>
      <c r="I179" s="19" t="n">
        <v>17</v>
      </c>
      <c r="J179" s="19" t="n">
        <v>40</v>
      </c>
      <c r="K179" s="19" t="s">
        <v>280</v>
      </c>
    </row>
    <row r="180" customFormat="false" ht="15" hidden="false" customHeight="true" outlineLevel="0" collapsed="false">
      <c r="B180" s="19" t="s">
        <v>465</v>
      </c>
      <c r="C180" s="19" t="s">
        <v>261</v>
      </c>
      <c r="D180" s="19" t="s">
        <v>262</v>
      </c>
      <c r="E180" s="19" t="s">
        <v>263</v>
      </c>
      <c r="F180" s="19" t="s">
        <v>42</v>
      </c>
      <c r="G180" s="19" t="s">
        <v>43</v>
      </c>
      <c r="H180" s="19" t="s">
        <v>300</v>
      </c>
      <c r="I180" s="19" t="n">
        <v>17</v>
      </c>
      <c r="J180" s="19" t="n">
        <v>40</v>
      </c>
      <c r="K180" s="19" t="s">
        <v>280</v>
      </c>
    </row>
    <row r="181" customFormat="false" ht="15" hidden="false" customHeight="true" outlineLevel="0" collapsed="false">
      <c r="B181" s="19" t="s">
        <v>466</v>
      </c>
      <c r="C181" s="19" t="s">
        <v>238</v>
      </c>
      <c r="D181" s="19" t="s">
        <v>239</v>
      </c>
      <c r="E181" s="19" t="s">
        <v>240</v>
      </c>
      <c r="F181" s="19" t="s">
        <v>48</v>
      </c>
      <c r="G181" s="19" t="s">
        <v>49</v>
      </c>
      <c r="H181" s="19" t="s">
        <v>300</v>
      </c>
      <c r="I181" s="19" t="n">
        <v>23</v>
      </c>
      <c r="J181" s="19" t="n">
        <v>40</v>
      </c>
      <c r="K181" s="19" t="s">
        <v>280</v>
      </c>
    </row>
    <row r="182" customFormat="false" ht="15" hidden="false" customHeight="true" outlineLevel="0" collapsed="false">
      <c r="B182" s="19" t="s">
        <v>467</v>
      </c>
      <c r="C182" s="19" t="s">
        <v>264</v>
      </c>
      <c r="D182" s="19" t="s">
        <v>265</v>
      </c>
      <c r="E182" s="19" t="s">
        <v>266</v>
      </c>
      <c r="F182" s="19" t="s">
        <v>53</v>
      </c>
      <c r="G182" s="19" t="s">
        <v>54</v>
      </c>
      <c r="H182" s="19" t="s">
        <v>279</v>
      </c>
      <c r="I182" s="19" t="n">
        <v>19</v>
      </c>
      <c r="J182" s="19" t="n">
        <v>40</v>
      </c>
      <c r="K182" s="19" t="s">
        <v>280</v>
      </c>
    </row>
    <row r="183" customFormat="false" ht="15" hidden="false" customHeight="true" outlineLevel="0" collapsed="false">
      <c r="B183" s="19" t="s">
        <v>468</v>
      </c>
      <c r="C183" s="19" t="s">
        <v>245</v>
      </c>
      <c r="D183" s="19" t="s">
        <v>246</v>
      </c>
      <c r="E183" s="19" t="s">
        <v>247</v>
      </c>
      <c r="F183" s="19" t="s">
        <v>48</v>
      </c>
      <c r="G183" s="19" t="s">
        <v>49</v>
      </c>
      <c r="H183" s="19" t="s">
        <v>287</v>
      </c>
      <c r="I183" s="19" t="n">
        <v>16</v>
      </c>
      <c r="J183" s="19" t="n">
        <v>40</v>
      </c>
      <c r="K183" s="19" t="s">
        <v>280</v>
      </c>
    </row>
    <row r="184" customFormat="false" ht="15" hidden="false" customHeight="true" outlineLevel="0" collapsed="false">
      <c r="B184" s="19" t="s">
        <v>469</v>
      </c>
      <c r="C184" s="19" t="s">
        <v>258</v>
      </c>
      <c r="D184" s="19" t="s">
        <v>259</v>
      </c>
      <c r="E184" s="19" t="s">
        <v>260</v>
      </c>
      <c r="F184" s="19" t="s">
        <v>53</v>
      </c>
      <c r="G184" s="19" t="s">
        <v>54</v>
      </c>
      <c r="H184" s="19" t="s">
        <v>291</v>
      </c>
      <c r="I184" s="19" t="n">
        <v>13</v>
      </c>
      <c r="J184" s="19" t="n">
        <v>40</v>
      </c>
      <c r="K184" s="19" t="s">
        <v>280</v>
      </c>
    </row>
    <row r="185" customFormat="false" ht="15" hidden="false" customHeight="true" outlineLevel="0" collapsed="false">
      <c r="B185" s="19" t="s">
        <v>470</v>
      </c>
      <c r="C185" s="19" t="s">
        <v>231</v>
      </c>
      <c r="D185" s="19" t="s">
        <v>232</v>
      </c>
      <c r="E185" s="19" t="s">
        <v>229</v>
      </c>
      <c r="F185" s="19" t="s">
        <v>53</v>
      </c>
      <c r="G185" s="19" t="s">
        <v>54</v>
      </c>
      <c r="H185" s="19" t="s">
        <v>295</v>
      </c>
      <c r="I185" s="19" t="n">
        <v>15</v>
      </c>
      <c r="J185" s="19" t="n">
        <v>40</v>
      </c>
      <c r="K185" s="19" t="s">
        <v>280</v>
      </c>
    </row>
    <row r="186" customFormat="false" ht="15" hidden="false" customHeight="true" outlineLevel="0" collapsed="false">
      <c r="B186" s="19" t="s">
        <v>471</v>
      </c>
      <c r="C186" s="19" t="s">
        <v>267</v>
      </c>
      <c r="D186" s="19" t="s">
        <v>268</v>
      </c>
      <c r="E186" s="19" t="s">
        <v>269</v>
      </c>
      <c r="F186" s="19" t="s">
        <v>53</v>
      </c>
      <c r="G186" s="19" t="s">
        <v>54</v>
      </c>
      <c r="H186" s="19" t="s">
        <v>287</v>
      </c>
      <c r="I186" s="19" t="n">
        <v>18</v>
      </c>
      <c r="J186" s="19" t="n">
        <v>24</v>
      </c>
      <c r="K186" s="19" t="s">
        <v>280</v>
      </c>
    </row>
    <row r="187" customFormat="false" ht="15" hidden="false" customHeight="true" outlineLevel="0" collapsed="false">
      <c r="B187" s="19" t="s">
        <v>472</v>
      </c>
      <c r="C187" s="19" t="s">
        <v>264</v>
      </c>
      <c r="D187" s="19" t="s">
        <v>265</v>
      </c>
      <c r="E187" s="19" t="s">
        <v>266</v>
      </c>
      <c r="F187" s="19" t="s">
        <v>53</v>
      </c>
      <c r="G187" s="19" t="s">
        <v>54</v>
      </c>
      <c r="H187" s="19" t="s">
        <v>287</v>
      </c>
      <c r="I187" s="19" t="n">
        <v>13</v>
      </c>
      <c r="J187" s="19" t="n">
        <v>40</v>
      </c>
      <c r="K187" s="19" t="s">
        <v>280</v>
      </c>
    </row>
    <row r="188" customFormat="false" ht="15" hidden="false" customHeight="true" outlineLevel="0" collapsed="false">
      <c r="B188" s="19" t="s">
        <v>473</v>
      </c>
      <c r="C188" s="19" t="s">
        <v>227</v>
      </c>
      <c r="D188" s="19" t="s">
        <v>228</v>
      </c>
      <c r="E188" s="19" t="s">
        <v>229</v>
      </c>
      <c r="F188" s="19" t="s">
        <v>66</v>
      </c>
      <c r="G188" s="19" t="s">
        <v>67</v>
      </c>
      <c r="H188" s="19" t="s">
        <v>285</v>
      </c>
      <c r="I188" s="19" t="n">
        <v>16</v>
      </c>
      <c r="J188" s="19" t="n">
        <v>40</v>
      </c>
      <c r="K188" s="19" t="s">
        <v>280</v>
      </c>
    </row>
    <row r="189" customFormat="false" ht="15" hidden="false" customHeight="true" outlineLevel="0" collapsed="false">
      <c r="B189" s="19" t="s">
        <v>474</v>
      </c>
      <c r="C189" s="19" t="s">
        <v>249</v>
      </c>
      <c r="D189" s="19" t="s">
        <v>250</v>
      </c>
      <c r="E189" s="19" t="s">
        <v>251</v>
      </c>
      <c r="F189" s="19" t="s">
        <v>58</v>
      </c>
      <c r="G189" s="19" t="s">
        <v>59</v>
      </c>
      <c r="H189" s="19" t="s">
        <v>289</v>
      </c>
      <c r="I189" s="19" t="n">
        <v>12</v>
      </c>
      <c r="J189" s="19" t="n">
        <v>40</v>
      </c>
      <c r="K189" s="19" t="s">
        <v>280</v>
      </c>
    </row>
    <row r="190" customFormat="false" ht="15" hidden="false" customHeight="true" outlineLevel="0" collapsed="false">
      <c r="B190" s="19" t="s">
        <v>475</v>
      </c>
      <c r="C190" s="19" t="s">
        <v>249</v>
      </c>
      <c r="D190" s="19" t="s">
        <v>250</v>
      </c>
      <c r="E190" s="19" t="s">
        <v>251</v>
      </c>
      <c r="F190" s="19" t="s">
        <v>62</v>
      </c>
      <c r="G190" s="19" t="s">
        <v>63</v>
      </c>
      <c r="H190" s="19" t="s">
        <v>285</v>
      </c>
      <c r="I190" s="19" t="n">
        <v>33</v>
      </c>
      <c r="J190" s="19" t="n">
        <v>40</v>
      </c>
      <c r="K190" s="19" t="s">
        <v>280</v>
      </c>
    </row>
    <row r="191" customFormat="false" ht="15" hidden="false" customHeight="true" outlineLevel="0" collapsed="false">
      <c r="B191" s="19" t="s">
        <v>476</v>
      </c>
      <c r="C191" s="19" t="s">
        <v>233</v>
      </c>
      <c r="D191" s="19" t="s">
        <v>234</v>
      </c>
      <c r="E191" s="19" t="s">
        <v>235</v>
      </c>
      <c r="F191" s="19" t="s">
        <v>66</v>
      </c>
      <c r="G191" s="19" t="s">
        <v>67</v>
      </c>
      <c r="H191" s="19" t="s">
        <v>300</v>
      </c>
      <c r="I191" s="19" t="n">
        <v>14</v>
      </c>
      <c r="J191" s="19" t="n">
        <v>40</v>
      </c>
      <c r="K191" s="19" t="s">
        <v>280</v>
      </c>
    </row>
    <row r="192" customFormat="false" ht="15" hidden="false" customHeight="true" outlineLevel="0" collapsed="false">
      <c r="B192" s="19" t="s">
        <v>477</v>
      </c>
      <c r="C192" s="19" t="s">
        <v>236</v>
      </c>
      <c r="D192" s="19" t="s">
        <v>237</v>
      </c>
      <c r="E192" s="19" t="s">
        <v>235</v>
      </c>
      <c r="F192" s="19" t="s">
        <v>62</v>
      </c>
      <c r="G192" s="19" t="s">
        <v>63</v>
      </c>
      <c r="H192" s="19" t="s">
        <v>287</v>
      </c>
      <c r="I192" s="19" t="n">
        <v>17</v>
      </c>
      <c r="J192" s="19" t="n">
        <v>40</v>
      </c>
      <c r="K192" s="19" t="s">
        <v>280</v>
      </c>
    </row>
    <row r="193" customFormat="false" ht="15" hidden="false" customHeight="true" outlineLevel="0" collapsed="false">
      <c r="B193" s="19" t="s">
        <v>478</v>
      </c>
      <c r="C193" s="19" t="s">
        <v>236</v>
      </c>
      <c r="D193" s="19" t="s">
        <v>237</v>
      </c>
      <c r="E193" s="19" t="s">
        <v>235</v>
      </c>
      <c r="F193" s="19" t="s">
        <v>62</v>
      </c>
      <c r="G193" s="19" t="s">
        <v>63</v>
      </c>
      <c r="H193" s="19" t="s">
        <v>295</v>
      </c>
      <c r="I193" s="19" t="n">
        <v>18</v>
      </c>
      <c r="J193" s="19" t="n">
        <v>40</v>
      </c>
      <c r="K193" s="19" t="s">
        <v>280</v>
      </c>
    </row>
    <row r="194" customFormat="false" ht="15" hidden="false" customHeight="true" outlineLevel="0" collapsed="false">
      <c r="B194" s="19" t="s">
        <v>479</v>
      </c>
      <c r="C194" s="19" t="s">
        <v>238</v>
      </c>
      <c r="D194" s="19" t="s">
        <v>239</v>
      </c>
      <c r="E194" s="19" t="s">
        <v>240</v>
      </c>
      <c r="F194" s="19" t="s">
        <v>48</v>
      </c>
      <c r="G194" s="19" t="s">
        <v>49</v>
      </c>
      <c r="H194" s="19" t="s">
        <v>331</v>
      </c>
      <c r="I194" s="19" t="n">
        <v>39</v>
      </c>
      <c r="J194" s="19" t="n">
        <v>40</v>
      </c>
      <c r="K194" s="19" t="s">
        <v>280</v>
      </c>
    </row>
    <row r="195" customFormat="false" ht="15" hidden="false" customHeight="true" outlineLevel="0" collapsed="false">
      <c r="B195" s="19" t="s">
        <v>480</v>
      </c>
      <c r="C195" s="19" t="s">
        <v>253</v>
      </c>
      <c r="D195" s="19" t="s">
        <v>254</v>
      </c>
      <c r="E195" s="19" t="s">
        <v>251</v>
      </c>
      <c r="F195" s="19" t="s">
        <v>42</v>
      </c>
      <c r="G195" s="19" t="s">
        <v>43</v>
      </c>
      <c r="H195" s="19" t="s">
        <v>291</v>
      </c>
      <c r="I195" s="19" t="n">
        <v>14</v>
      </c>
      <c r="J195" s="19" t="n">
        <v>32</v>
      </c>
      <c r="K195" s="19" t="s">
        <v>280</v>
      </c>
    </row>
    <row r="196" customFormat="false" ht="15" hidden="false" customHeight="true" outlineLevel="0" collapsed="false">
      <c r="B196" s="19" t="s">
        <v>481</v>
      </c>
      <c r="C196" s="19" t="s">
        <v>258</v>
      </c>
      <c r="D196" s="19" t="s">
        <v>259</v>
      </c>
      <c r="E196" s="19" t="s">
        <v>260</v>
      </c>
      <c r="F196" s="19" t="s">
        <v>53</v>
      </c>
      <c r="G196" s="19" t="s">
        <v>54</v>
      </c>
      <c r="H196" s="19" t="s">
        <v>331</v>
      </c>
      <c r="I196" s="19" t="n">
        <v>13</v>
      </c>
      <c r="J196" s="19" t="n">
        <v>40</v>
      </c>
      <c r="K196" s="19" t="s">
        <v>280</v>
      </c>
    </row>
    <row r="197" customFormat="false" ht="15" hidden="false" customHeight="true" outlineLevel="0" collapsed="false">
      <c r="B197" s="19" t="s">
        <v>482</v>
      </c>
      <c r="C197" s="19" t="s">
        <v>231</v>
      </c>
      <c r="D197" s="19" t="s">
        <v>232</v>
      </c>
      <c r="E197" s="19" t="s">
        <v>229</v>
      </c>
      <c r="F197" s="19" t="s">
        <v>66</v>
      </c>
      <c r="G197" s="19" t="s">
        <v>67</v>
      </c>
      <c r="H197" s="19" t="s">
        <v>300</v>
      </c>
      <c r="I197" s="19" t="n">
        <v>9</v>
      </c>
      <c r="J197" s="19" t="n">
        <v>40</v>
      </c>
      <c r="K197" s="19" t="s">
        <v>280</v>
      </c>
    </row>
    <row r="198" customFormat="false" ht="15" hidden="false" customHeight="true" outlineLevel="0" collapsed="false">
      <c r="B198" s="19" t="s">
        <v>483</v>
      </c>
      <c r="C198" s="19" t="s">
        <v>231</v>
      </c>
      <c r="D198" s="19" t="s">
        <v>232</v>
      </c>
      <c r="E198" s="19" t="s">
        <v>229</v>
      </c>
      <c r="F198" s="19" t="s">
        <v>66</v>
      </c>
      <c r="G198" s="19" t="s">
        <v>67</v>
      </c>
      <c r="H198" s="19" t="s">
        <v>287</v>
      </c>
      <c r="I198" s="19" t="n">
        <v>14</v>
      </c>
      <c r="J198" s="19" t="n">
        <v>40</v>
      </c>
      <c r="K198" s="19" t="s">
        <v>280</v>
      </c>
    </row>
    <row r="199" customFormat="false" ht="15" hidden="false" customHeight="true" outlineLevel="0" collapsed="false">
      <c r="B199" s="19" t="s">
        <v>484</v>
      </c>
      <c r="C199" s="19" t="s">
        <v>255</v>
      </c>
      <c r="D199" s="19" t="s">
        <v>256</v>
      </c>
      <c r="E199" s="19" t="s">
        <v>41</v>
      </c>
      <c r="F199" s="19" t="s">
        <v>48</v>
      </c>
      <c r="G199" s="19" t="s">
        <v>49</v>
      </c>
      <c r="H199" s="19" t="s">
        <v>291</v>
      </c>
      <c r="I199" s="19" t="n">
        <v>20</v>
      </c>
      <c r="J199" s="19" t="n">
        <v>40</v>
      </c>
      <c r="K199" s="19" t="s">
        <v>280</v>
      </c>
    </row>
    <row r="200" customFormat="false" ht="15" hidden="false" customHeight="true" outlineLevel="0" collapsed="false">
      <c r="B200" s="19" t="s">
        <v>485</v>
      </c>
      <c r="C200" s="19" t="s">
        <v>227</v>
      </c>
      <c r="D200" s="19" t="s">
        <v>228</v>
      </c>
      <c r="E200" s="19" t="s">
        <v>229</v>
      </c>
      <c r="F200" s="19" t="s">
        <v>66</v>
      </c>
      <c r="G200" s="19" t="s">
        <v>67</v>
      </c>
      <c r="H200" s="19" t="s">
        <v>283</v>
      </c>
      <c r="I200" s="19" t="n">
        <v>28</v>
      </c>
      <c r="J200" s="19" t="n">
        <v>40</v>
      </c>
      <c r="K200" s="19" t="s">
        <v>280</v>
      </c>
    </row>
    <row r="201" customFormat="false" ht="15" hidden="false" customHeight="true" outlineLevel="0" collapsed="false">
      <c r="B201" s="19" t="s">
        <v>486</v>
      </c>
      <c r="C201" s="19" t="s">
        <v>233</v>
      </c>
      <c r="D201" s="19" t="s">
        <v>234</v>
      </c>
      <c r="E201" s="19" t="s">
        <v>235</v>
      </c>
      <c r="F201" s="19" t="s">
        <v>66</v>
      </c>
      <c r="G201" s="19" t="s">
        <v>67</v>
      </c>
      <c r="H201" s="19" t="s">
        <v>331</v>
      </c>
      <c r="I201" s="19" t="n">
        <v>14</v>
      </c>
      <c r="J201" s="19" t="n">
        <v>40</v>
      </c>
      <c r="K201" s="19" t="s">
        <v>280</v>
      </c>
    </row>
    <row r="202" customFormat="false" ht="15" hidden="false" customHeight="true" outlineLevel="0" collapsed="false">
      <c r="B202" s="19" t="s">
        <v>487</v>
      </c>
      <c r="C202" s="19" t="s">
        <v>264</v>
      </c>
      <c r="D202" s="19" t="s">
        <v>265</v>
      </c>
      <c r="E202" s="19" t="s">
        <v>266</v>
      </c>
      <c r="F202" s="19" t="s">
        <v>58</v>
      </c>
      <c r="G202" s="19" t="s">
        <v>59</v>
      </c>
      <c r="H202" s="19" t="s">
        <v>289</v>
      </c>
      <c r="I202" s="19" t="n">
        <v>17</v>
      </c>
      <c r="J202" s="19" t="n">
        <v>40</v>
      </c>
      <c r="K202" s="19" t="s">
        <v>280</v>
      </c>
    </row>
    <row r="203" customFormat="false" ht="15" hidden="false" customHeight="true" outlineLevel="0" collapsed="false">
      <c r="B203" s="19" t="s">
        <v>488</v>
      </c>
      <c r="C203" s="19" t="s">
        <v>233</v>
      </c>
      <c r="D203" s="19" t="s">
        <v>234</v>
      </c>
      <c r="E203" s="19" t="s">
        <v>235</v>
      </c>
      <c r="F203" s="19" t="s">
        <v>48</v>
      </c>
      <c r="G203" s="19" t="s">
        <v>49</v>
      </c>
      <c r="H203" s="19" t="s">
        <v>300</v>
      </c>
      <c r="I203" s="19" t="n">
        <v>12</v>
      </c>
      <c r="J203" s="19" t="n">
        <v>40</v>
      </c>
      <c r="K203" s="19" t="s">
        <v>280</v>
      </c>
    </row>
    <row r="204" customFormat="false" ht="15" hidden="false" customHeight="true" outlineLevel="0" collapsed="false">
      <c r="B204" s="19" t="s">
        <v>489</v>
      </c>
      <c r="C204" s="19" t="s">
        <v>267</v>
      </c>
      <c r="D204" s="19" t="s">
        <v>268</v>
      </c>
      <c r="E204" s="19" t="s">
        <v>269</v>
      </c>
      <c r="F204" s="19" t="s">
        <v>66</v>
      </c>
      <c r="G204" s="19" t="s">
        <v>67</v>
      </c>
      <c r="H204" s="19" t="s">
        <v>283</v>
      </c>
      <c r="I204" s="19" t="n">
        <v>19</v>
      </c>
      <c r="J204" s="19" t="n">
        <v>24</v>
      </c>
      <c r="K204" s="19" t="s">
        <v>280</v>
      </c>
    </row>
    <row r="205" customFormat="false" ht="15" hidden="false" customHeight="true" outlineLevel="0" collapsed="false">
      <c r="B205" s="19" t="s">
        <v>490</v>
      </c>
      <c r="C205" s="19" t="s">
        <v>258</v>
      </c>
      <c r="D205" s="19" t="s">
        <v>259</v>
      </c>
      <c r="E205" s="19" t="s">
        <v>260</v>
      </c>
      <c r="F205" s="19" t="s">
        <v>48</v>
      </c>
      <c r="G205" s="19" t="s">
        <v>49</v>
      </c>
      <c r="H205" s="19" t="s">
        <v>331</v>
      </c>
      <c r="I205" s="19" t="n">
        <v>17</v>
      </c>
      <c r="J205" s="19" t="n">
        <v>40</v>
      </c>
      <c r="K205" s="19" t="s">
        <v>280</v>
      </c>
    </row>
    <row r="206" customFormat="false" ht="15" hidden="false" customHeight="true" outlineLevel="0" collapsed="false">
      <c r="B206" s="19" t="s">
        <v>491</v>
      </c>
      <c r="C206" s="19" t="s">
        <v>227</v>
      </c>
      <c r="D206" s="19" t="s">
        <v>228</v>
      </c>
      <c r="E206" s="19" t="s">
        <v>229</v>
      </c>
      <c r="F206" s="19" t="s">
        <v>58</v>
      </c>
      <c r="G206" s="19" t="s">
        <v>59</v>
      </c>
      <c r="H206" s="19" t="s">
        <v>279</v>
      </c>
      <c r="I206" s="19" t="n">
        <v>14</v>
      </c>
      <c r="J206" s="19" t="n">
        <v>40</v>
      </c>
      <c r="K206" s="19" t="s">
        <v>280</v>
      </c>
    </row>
    <row r="207" customFormat="false" ht="15" hidden="false" customHeight="true" outlineLevel="0" collapsed="false">
      <c r="B207" s="19" t="s">
        <v>492</v>
      </c>
      <c r="C207" s="19" t="s">
        <v>258</v>
      </c>
      <c r="D207" s="19" t="s">
        <v>259</v>
      </c>
      <c r="E207" s="19" t="s">
        <v>260</v>
      </c>
      <c r="F207" s="19" t="s">
        <v>66</v>
      </c>
      <c r="G207" s="19" t="s">
        <v>67</v>
      </c>
      <c r="H207" s="19" t="s">
        <v>289</v>
      </c>
      <c r="I207" s="19" t="n">
        <v>15</v>
      </c>
      <c r="J207" s="19" t="n">
        <v>40</v>
      </c>
      <c r="K207" s="19" t="s">
        <v>280</v>
      </c>
    </row>
    <row r="208" customFormat="false" ht="15" hidden="false" customHeight="true" outlineLevel="0" collapsed="false">
      <c r="B208" s="19" t="s">
        <v>493</v>
      </c>
      <c r="C208" s="19" t="s">
        <v>255</v>
      </c>
      <c r="D208" s="19" t="s">
        <v>256</v>
      </c>
      <c r="E208" s="19" t="s">
        <v>41</v>
      </c>
      <c r="F208" s="19" t="s">
        <v>66</v>
      </c>
      <c r="G208" s="19" t="s">
        <v>67</v>
      </c>
      <c r="H208" s="19" t="s">
        <v>287</v>
      </c>
      <c r="I208" s="19" t="n">
        <v>19</v>
      </c>
      <c r="J208" s="19" t="n">
        <v>40</v>
      </c>
      <c r="K208" s="19" t="s">
        <v>280</v>
      </c>
    </row>
    <row r="209" customFormat="false" ht="15" hidden="false" customHeight="true" outlineLevel="0" collapsed="false">
      <c r="B209" s="19" t="s">
        <v>494</v>
      </c>
      <c r="C209" s="19" t="s">
        <v>242</v>
      </c>
      <c r="D209" s="19" t="s">
        <v>243</v>
      </c>
      <c r="E209" s="19" t="s">
        <v>244</v>
      </c>
      <c r="F209" s="19" t="s">
        <v>42</v>
      </c>
      <c r="G209" s="19" t="s">
        <v>43</v>
      </c>
      <c r="H209" s="19" t="s">
        <v>331</v>
      </c>
      <c r="I209" s="19" t="n">
        <v>10</v>
      </c>
      <c r="J209" s="19" t="n">
        <v>40</v>
      </c>
      <c r="K209" s="19" t="s">
        <v>280</v>
      </c>
    </row>
    <row r="210" customFormat="false" ht="15" hidden="false" customHeight="true" outlineLevel="0" collapsed="false">
      <c r="B210" s="19" t="s">
        <v>495</v>
      </c>
      <c r="C210" s="19" t="s">
        <v>258</v>
      </c>
      <c r="D210" s="19" t="s">
        <v>259</v>
      </c>
      <c r="E210" s="19" t="s">
        <v>260</v>
      </c>
      <c r="F210" s="19" t="s">
        <v>48</v>
      </c>
      <c r="G210" s="19" t="s">
        <v>49</v>
      </c>
      <c r="H210" s="19" t="s">
        <v>300</v>
      </c>
      <c r="I210" s="19" t="n">
        <v>18</v>
      </c>
      <c r="J210" s="19" t="n">
        <v>40</v>
      </c>
      <c r="K210" s="19" t="s">
        <v>280</v>
      </c>
    </row>
    <row r="211" customFormat="false" ht="15" hidden="false" customHeight="true" outlineLevel="0" collapsed="false">
      <c r="B211" s="19" t="s">
        <v>496</v>
      </c>
      <c r="C211" s="19" t="s">
        <v>236</v>
      </c>
      <c r="D211" s="19" t="s">
        <v>237</v>
      </c>
      <c r="E211" s="19" t="s">
        <v>235</v>
      </c>
      <c r="F211" s="19" t="s">
        <v>53</v>
      </c>
      <c r="G211" s="19" t="s">
        <v>54</v>
      </c>
      <c r="H211" s="19" t="s">
        <v>287</v>
      </c>
      <c r="I211" s="19" t="n">
        <v>20</v>
      </c>
      <c r="J211" s="19" t="n">
        <v>40</v>
      </c>
      <c r="K211" s="19" t="s">
        <v>497</v>
      </c>
    </row>
    <row r="212" customFormat="false" ht="15" hidden="false" customHeight="true" outlineLevel="0" collapsed="false">
      <c r="B212" s="19" t="s">
        <v>498</v>
      </c>
      <c r="C212" s="19" t="s">
        <v>238</v>
      </c>
      <c r="D212" s="19" t="s">
        <v>239</v>
      </c>
      <c r="E212" s="19" t="s">
        <v>240</v>
      </c>
      <c r="F212" s="19" t="s">
        <v>66</v>
      </c>
      <c r="G212" s="19" t="s">
        <v>67</v>
      </c>
      <c r="H212" s="19" t="s">
        <v>285</v>
      </c>
      <c r="I212" s="19" t="n">
        <v>16</v>
      </c>
      <c r="J212" s="19" t="n">
        <v>40</v>
      </c>
      <c r="K212" s="19" t="s">
        <v>280</v>
      </c>
    </row>
    <row r="213" customFormat="false" ht="15" hidden="false" customHeight="true" outlineLevel="0" collapsed="false">
      <c r="B213" s="19" t="s">
        <v>499</v>
      </c>
      <c r="C213" s="19" t="s">
        <v>231</v>
      </c>
      <c r="D213" s="19" t="s">
        <v>232</v>
      </c>
      <c r="E213" s="19" t="s">
        <v>229</v>
      </c>
      <c r="F213" s="19" t="s">
        <v>53</v>
      </c>
      <c r="G213" s="19" t="s">
        <v>54</v>
      </c>
      <c r="H213" s="19" t="s">
        <v>291</v>
      </c>
      <c r="I213" s="19" t="n">
        <v>20</v>
      </c>
      <c r="J213" s="19" t="n">
        <v>40</v>
      </c>
      <c r="K213" s="19" t="s">
        <v>280</v>
      </c>
    </row>
    <row r="214" customFormat="false" ht="15" hidden="false" customHeight="true" outlineLevel="0" collapsed="false">
      <c r="B214" s="19" t="s">
        <v>500</v>
      </c>
      <c r="C214" s="19" t="s">
        <v>238</v>
      </c>
      <c r="D214" s="19" t="s">
        <v>239</v>
      </c>
      <c r="E214" s="19" t="s">
        <v>240</v>
      </c>
      <c r="F214" s="19" t="s">
        <v>48</v>
      </c>
      <c r="G214" s="19" t="s">
        <v>49</v>
      </c>
      <c r="H214" s="19" t="s">
        <v>289</v>
      </c>
      <c r="I214" s="19" t="n">
        <v>11</v>
      </c>
      <c r="J214" s="19" t="n">
        <v>40</v>
      </c>
      <c r="K214" s="19" t="s">
        <v>280</v>
      </c>
    </row>
    <row r="215" customFormat="false" ht="15" hidden="false" customHeight="true" outlineLevel="0" collapsed="false">
      <c r="B215" s="19" t="s">
        <v>501</v>
      </c>
      <c r="C215" s="19" t="s">
        <v>267</v>
      </c>
      <c r="D215" s="19" t="s">
        <v>268</v>
      </c>
      <c r="E215" s="19" t="s">
        <v>269</v>
      </c>
      <c r="F215" s="19" t="s">
        <v>42</v>
      </c>
      <c r="G215" s="19" t="s">
        <v>43</v>
      </c>
      <c r="H215" s="19" t="s">
        <v>331</v>
      </c>
      <c r="I215" s="19" t="n">
        <v>6</v>
      </c>
      <c r="J215" s="19" t="n">
        <v>24</v>
      </c>
      <c r="K215" s="19" t="s">
        <v>280</v>
      </c>
    </row>
    <row r="216" customFormat="false" ht="15" hidden="false" customHeight="true" outlineLevel="0" collapsed="false">
      <c r="B216" s="19" t="s">
        <v>502</v>
      </c>
      <c r="C216" s="19" t="s">
        <v>238</v>
      </c>
      <c r="D216" s="19" t="s">
        <v>239</v>
      </c>
      <c r="E216" s="19" t="s">
        <v>240</v>
      </c>
      <c r="F216" s="19" t="s">
        <v>62</v>
      </c>
      <c r="G216" s="19" t="s">
        <v>63</v>
      </c>
      <c r="H216" s="19" t="s">
        <v>283</v>
      </c>
      <c r="I216" s="19" t="n">
        <v>17</v>
      </c>
      <c r="J216" s="19" t="n">
        <v>40</v>
      </c>
      <c r="K216" s="19" t="s">
        <v>280</v>
      </c>
    </row>
    <row r="217" customFormat="false" ht="15" hidden="false" customHeight="true" outlineLevel="0" collapsed="false">
      <c r="B217" s="19" t="s">
        <v>503</v>
      </c>
      <c r="C217" s="19" t="s">
        <v>223</v>
      </c>
      <c r="D217" s="19" t="s">
        <v>224</v>
      </c>
      <c r="E217" s="19" t="s">
        <v>225</v>
      </c>
      <c r="F217" s="19" t="s">
        <v>62</v>
      </c>
      <c r="G217" s="19" t="s">
        <v>63</v>
      </c>
      <c r="H217" s="19" t="s">
        <v>312</v>
      </c>
      <c r="I217" s="19" t="n">
        <v>30</v>
      </c>
      <c r="J217" s="19" t="n">
        <v>40</v>
      </c>
      <c r="K217" s="19" t="s">
        <v>280</v>
      </c>
    </row>
    <row r="218" customFormat="false" ht="15" hidden="false" customHeight="true" outlineLevel="0" collapsed="false">
      <c r="B218" s="19" t="s">
        <v>504</v>
      </c>
      <c r="C218" s="19" t="s">
        <v>242</v>
      </c>
      <c r="D218" s="19" t="s">
        <v>243</v>
      </c>
      <c r="E218" s="19" t="s">
        <v>244</v>
      </c>
      <c r="F218" s="19" t="s">
        <v>62</v>
      </c>
      <c r="G218" s="19" t="s">
        <v>63</v>
      </c>
      <c r="H218" s="19" t="s">
        <v>331</v>
      </c>
      <c r="I218" s="19" t="n">
        <v>12</v>
      </c>
      <c r="J218" s="19" t="n">
        <v>40</v>
      </c>
      <c r="K218" s="19" t="s">
        <v>280</v>
      </c>
    </row>
    <row r="219" customFormat="false" ht="15" hidden="false" customHeight="true" outlineLevel="0" collapsed="false">
      <c r="B219" s="19" t="s">
        <v>505</v>
      </c>
      <c r="C219" s="19" t="s">
        <v>255</v>
      </c>
      <c r="D219" s="19" t="s">
        <v>256</v>
      </c>
      <c r="E219" s="19" t="s">
        <v>41</v>
      </c>
      <c r="F219" s="19" t="s">
        <v>58</v>
      </c>
      <c r="G219" s="19" t="s">
        <v>59</v>
      </c>
      <c r="H219" s="19" t="s">
        <v>300</v>
      </c>
      <c r="I219" s="19" t="n">
        <v>30</v>
      </c>
      <c r="J219" s="19" t="n">
        <v>40</v>
      </c>
      <c r="K219" s="19" t="s">
        <v>280</v>
      </c>
    </row>
    <row r="220" customFormat="false" ht="15" hidden="false" customHeight="true" outlineLevel="0" collapsed="false">
      <c r="B220" s="19" t="s">
        <v>506</v>
      </c>
      <c r="C220" s="19" t="s">
        <v>238</v>
      </c>
      <c r="D220" s="19" t="s">
        <v>239</v>
      </c>
      <c r="E220" s="19" t="s">
        <v>240</v>
      </c>
      <c r="F220" s="19" t="s">
        <v>48</v>
      </c>
      <c r="G220" s="19" t="s">
        <v>49</v>
      </c>
      <c r="H220" s="19" t="s">
        <v>295</v>
      </c>
      <c r="I220" s="19" t="n">
        <v>17</v>
      </c>
      <c r="J220" s="19" t="n">
        <v>40</v>
      </c>
      <c r="K220" s="19" t="s">
        <v>280</v>
      </c>
    </row>
    <row r="221" customFormat="false" ht="15" hidden="false" customHeight="true" outlineLevel="0" collapsed="false">
      <c r="B221" s="19" t="s">
        <v>507</v>
      </c>
      <c r="C221" s="19" t="s">
        <v>227</v>
      </c>
      <c r="D221" s="19" t="s">
        <v>228</v>
      </c>
      <c r="E221" s="19" t="s">
        <v>229</v>
      </c>
      <c r="F221" s="19" t="s">
        <v>58</v>
      </c>
      <c r="G221" s="19" t="s">
        <v>59</v>
      </c>
      <c r="H221" s="19" t="s">
        <v>300</v>
      </c>
      <c r="I221" s="19" t="n">
        <v>33</v>
      </c>
      <c r="J221" s="19" t="n">
        <v>40</v>
      </c>
      <c r="K221" s="19" t="s">
        <v>280</v>
      </c>
    </row>
    <row r="222" customFormat="false" ht="15" hidden="false" customHeight="true" outlineLevel="0" collapsed="false">
      <c r="B222" s="19" t="s">
        <v>508</v>
      </c>
      <c r="C222" s="19" t="s">
        <v>231</v>
      </c>
      <c r="D222" s="19" t="s">
        <v>232</v>
      </c>
      <c r="E222" s="19" t="s">
        <v>229</v>
      </c>
      <c r="F222" s="19" t="s">
        <v>53</v>
      </c>
      <c r="G222" s="19" t="s">
        <v>54</v>
      </c>
      <c r="H222" s="19" t="s">
        <v>309</v>
      </c>
      <c r="I222" s="19" t="n">
        <v>15</v>
      </c>
      <c r="J222" s="19" t="n">
        <v>40</v>
      </c>
      <c r="K222" s="19" t="s">
        <v>280</v>
      </c>
    </row>
    <row r="223" customFormat="false" ht="15" hidden="false" customHeight="true" outlineLevel="0" collapsed="false">
      <c r="B223" s="19" t="s">
        <v>509</v>
      </c>
      <c r="C223" s="19" t="s">
        <v>223</v>
      </c>
      <c r="D223" s="19" t="s">
        <v>224</v>
      </c>
      <c r="E223" s="19" t="s">
        <v>225</v>
      </c>
      <c r="F223" s="19" t="s">
        <v>58</v>
      </c>
      <c r="G223" s="19" t="s">
        <v>59</v>
      </c>
      <c r="H223" s="19" t="s">
        <v>293</v>
      </c>
      <c r="I223" s="19" t="n">
        <v>33</v>
      </c>
      <c r="J223" s="19" t="n">
        <v>40</v>
      </c>
      <c r="K223" s="19" t="s">
        <v>280</v>
      </c>
    </row>
    <row r="224" customFormat="false" ht="15" hidden="false" customHeight="true" outlineLevel="0" collapsed="false">
      <c r="B224" s="19" t="s">
        <v>510</v>
      </c>
      <c r="C224" s="19" t="s">
        <v>236</v>
      </c>
      <c r="D224" s="19" t="s">
        <v>237</v>
      </c>
      <c r="E224" s="19" t="s">
        <v>235</v>
      </c>
      <c r="F224" s="19" t="s">
        <v>62</v>
      </c>
      <c r="G224" s="19" t="s">
        <v>63</v>
      </c>
      <c r="H224" s="19" t="s">
        <v>309</v>
      </c>
      <c r="I224" s="19" t="n">
        <v>17</v>
      </c>
      <c r="J224" s="19" t="n">
        <v>40</v>
      </c>
      <c r="K224" s="19" t="s">
        <v>280</v>
      </c>
    </row>
    <row r="225" customFormat="false" ht="15" hidden="false" customHeight="true" outlineLevel="0" collapsed="false">
      <c r="B225" s="19" t="s">
        <v>511</v>
      </c>
      <c r="C225" s="19" t="s">
        <v>238</v>
      </c>
      <c r="D225" s="19" t="s">
        <v>239</v>
      </c>
      <c r="E225" s="19" t="s">
        <v>240</v>
      </c>
      <c r="F225" s="19" t="s">
        <v>42</v>
      </c>
      <c r="G225" s="19" t="s">
        <v>43</v>
      </c>
      <c r="H225" s="19" t="s">
        <v>293</v>
      </c>
      <c r="I225" s="19" t="n">
        <v>21</v>
      </c>
      <c r="J225" s="19" t="n">
        <v>40</v>
      </c>
      <c r="K225" s="19" t="s">
        <v>280</v>
      </c>
    </row>
    <row r="226" customFormat="false" ht="15" hidden="false" customHeight="true" outlineLevel="0" collapsed="false">
      <c r="B226" s="19" t="s">
        <v>512</v>
      </c>
      <c r="C226" s="19" t="s">
        <v>255</v>
      </c>
      <c r="D226" s="19" t="s">
        <v>256</v>
      </c>
      <c r="E226" s="19" t="s">
        <v>41</v>
      </c>
      <c r="F226" s="19" t="s">
        <v>48</v>
      </c>
      <c r="G226" s="19" t="s">
        <v>49</v>
      </c>
      <c r="H226" s="19" t="s">
        <v>283</v>
      </c>
      <c r="I226" s="19" t="n">
        <v>14</v>
      </c>
      <c r="J226" s="19" t="n">
        <v>40</v>
      </c>
      <c r="K226" s="19" t="s">
        <v>280</v>
      </c>
    </row>
    <row r="227" customFormat="false" ht="15" hidden="false" customHeight="true" outlineLevel="0" collapsed="false">
      <c r="B227" s="19" t="s">
        <v>513</v>
      </c>
      <c r="C227" s="19" t="s">
        <v>227</v>
      </c>
      <c r="D227" s="19" t="s">
        <v>228</v>
      </c>
      <c r="E227" s="19" t="s">
        <v>229</v>
      </c>
      <c r="F227" s="19" t="s">
        <v>53</v>
      </c>
      <c r="G227" s="19" t="s">
        <v>54</v>
      </c>
      <c r="H227" s="19" t="s">
        <v>293</v>
      </c>
      <c r="I227" s="19" t="n">
        <v>11</v>
      </c>
      <c r="J227" s="19" t="n">
        <v>40</v>
      </c>
      <c r="K227" s="19" t="s">
        <v>280</v>
      </c>
    </row>
    <row r="228" customFormat="false" ht="15" hidden="false" customHeight="true" outlineLevel="0" collapsed="false">
      <c r="B228" s="19" t="s">
        <v>514</v>
      </c>
      <c r="C228" s="19" t="s">
        <v>231</v>
      </c>
      <c r="D228" s="19" t="s">
        <v>232</v>
      </c>
      <c r="E228" s="19" t="s">
        <v>229</v>
      </c>
      <c r="F228" s="19" t="s">
        <v>53</v>
      </c>
      <c r="G228" s="19" t="s">
        <v>54</v>
      </c>
      <c r="H228" s="19" t="s">
        <v>285</v>
      </c>
      <c r="I228" s="19" t="n">
        <v>20</v>
      </c>
      <c r="J228" s="19" t="n">
        <v>40</v>
      </c>
      <c r="K228" s="19" t="s">
        <v>280</v>
      </c>
    </row>
    <row r="229" customFormat="false" ht="15" hidden="false" customHeight="true" outlineLevel="0" collapsed="false">
      <c r="B229" s="19" t="s">
        <v>515</v>
      </c>
      <c r="C229" s="19" t="s">
        <v>267</v>
      </c>
      <c r="D229" s="19" t="s">
        <v>268</v>
      </c>
      <c r="E229" s="19" t="s">
        <v>269</v>
      </c>
      <c r="F229" s="19" t="s">
        <v>62</v>
      </c>
      <c r="G229" s="19" t="s">
        <v>63</v>
      </c>
      <c r="H229" s="19" t="s">
        <v>291</v>
      </c>
      <c r="I229" s="19" t="n">
        <v>10</v>
      </c>
      <c r="J229" s="19" t="n">
        <v>24</v>
      </c>
      <c r="K229" s="19" t="s">
        <v>280</v>
      </c>
    </row>
    <row r="230" customFormat="false" ht="15" hidden="false" customHeight="true" outlineLevel="0" collapsed="false">
      <c r="B230" s="19" t="s">
        <v>516</v>
      </c>
      <c r="C230" s="19" t="s">
        <v>249</v>
      </c>
      <c r="D230" s="19" t="s">
        <v>250</v>
      </c>
      <c r="E230" s="19" t="s">
        <v>251</v>
      </c>
      <c r="F230" s="19" t="s">
        <v>58</v>
      </c>
      <c r="G230" s="19" t="s">
        <v>59</v>
      </c>
      <c r="H230" s="19" t="s">
        <v>295</v>
      </c>
      <c r="I230" s="19" t="n">
        <v>13</v>
      </c>
      <c r="J230" s="19" t="n">
        <v>40</v>
      </c>
      <c r="K230" s="19" t="s">
        <v>280</v>
      </c>
    </row>
    <row r="231" customFormat="false" ht="15" hidden="false" customHeight="true" outlineLevel="0" collapsed="false">
      <c r="B231" s="19" t="s">
        <v>517</v>
      </c>
      <c r="C231" s="19" t="s">
        <v>261</v>
      </c>
      <c r="D231" s="19" t="s">
        <v>262</v>
      </c>
      <c r="E231" s="19" t="s">
        <v>263</v>
      </c>
      <c r="F231" s="19" t="s">
        <v>58</v>
      </c>
      <c r="G231" s="19" t="s">
        <v>59</v>
      </c>
      <c r="H231" s="19" t="s">
        <v>312</v>
      </c>
      <c r="I231" s="19" t="n">
        <v>32</v>
      </c>
      <c r="J231" s="19" t="n">
        <v>40</v>
      </c>
      <c r="K231" s="19" t="s">
        <v>280</v>
      </c>
    </row>
    <row r="232" customFormat="false" ht="15" hidden="false" customHeight="true" outlineLevel="0" collapsed="false">
      <c r="B232" s="19" t="s">
        <v>518</v>
      </c>
      <c r="C232" s="19" t="s">
        <v>233</v>
      </c>
      <c r="D232" s="19" t="s">
        <v>234</v>
      </c>
      <c r="E232" s="19" t="s">
        <v>235</v>
      </c>
      <c r="F232" s="19" t="s">
        <v>66</v>
      </c>
      <c r="G232" s="19" t="s">
        <v>67</v>
      </c>
      <c r="H232" s="19" t="s">
        <v>309</v>
      </c>
      <c r="I232" s="19" t="n">
        <v>30</v>
      </c>
      <c r="J232" s="19" t="n">
        <v>40</v>
      </c>
      <c r="K232" s="19" t="s">
        <v>280</v>
      </c>
    </row>
    <row r="233" customFormat="false" ht="15" hidden="false" customHeight="true" outlineLevel="0" collapsed="false">
      <c r="B233" s="19" t="s">
        <v>519</v>
      </c>
      <c r="C233" s="19" t="s">
        <v>238</v>
      </c>
      <c r="D233" s="19" t="s">
        <v>239</v>
      </c>
      <c r="E233" s="19" t="s">
        <v>240</v>
      </c>
      <c r="F233" s="19" t="s">
        <v>42</v>
      </c>
      <c r="G233" s="19" t="s">
        <v>43</v>
      </c>
      <c r="H233" s="19" t="s">
        <v>295</v>
      </c>
      <c r="I233" s="19" t="n">
        <v>15</v>
      </c>
      <c r="J233" s="19" t="n">
        <v>40</v>
      </c>
      <c r="K233" s="19" t="s">
        <v>280</v>
      </c>
    </row>
    <row r="234" customFormat="false" ht="15" hidden="false" customHeight="true" outlineLevel="0" collapsed="false">
      <c r="B234" s="19" t="s">
        <v>520</v>
      </c>
      <c r="C234" s="19" t="s">
        <v>264</v>
      </c>
      <c r="D234" s="19" t="s">
        <v>265</v>
      </c>
      <c r="E234" s="19" t="s">
        <v>266</v>
      </c>
      <c r="F234" s="19" t="s">
        <v>66</v>
      </c>
      <c r="G234" s="19" t="s">
        <v>67</v>
      </c>
      <c r="H234" s="19" t="s">
        <v>291</v>
      </c>
      <c r="I234" s="19" t="n">
        <v>9</v>
      </c>
      <c r="J234" s="19" t="n">
        <v>40</v>
      </c>
      <c r="K234" s="19" t="s">
        <v>280</v>
      </c>
    </row>
    <row r="235" customFormat="false" ht="15" hidden="false" customHeight="true" outlineLevel="0" collapsed="false">
      <c r="B235" s="19" t="s">
        <v>521</v>
      </c>
      <c r="C235" s="19" t="s">
        <v>231</v>
      </c>
      <c r="D235" s="19" t="s">
        <v>232</v>
      </c>
      <c r="E235" s="19" t="s">
        <v>229</v>
      </c>
      <c r="F235" s="19" t="s">
        <v>66</v>
      </c>
      <c r="G235" s="19" t="s">
        <v>67</v>
      </c>
      <c r="H235" s="19" t="s">
        <v>279</v>
      </c>
      <c r="I235" s="19" t="n">
        <v>7</v>
      </c>
      <c r="J235" s="19" t="n">
        <v>40</v>
      </c>
      <c r="K235" s="19" t="s">
        <v>280</v>
      </c>
    </row>
    <row r="236" customFormat="false" ht="15" hidden="false" customHeight="true" outlineLevel="0" collapsed="false">
      <c r="B236" s="19" t="s">
        <v>522</v>
      </c>
      <c r="C236" s="19" t="s">
        <v>267</v>
      </c>
      <c r="D236" s="19" t="s">
        <v>268</v>
      </c>
      <c r="E236" s="19" t="s">
        <v>269</v>
      </c>
      <c r="F236" s="19" t="s">
        <v>58</v>
      </c>
      <c r="G236" s="19" t="s">
        <v>59</v>
      </c>
      <c r="H236" s="19" t="s">
        <v>293</v>
      </c>
      <c r="I236" s="19" t="n">
        <v>20</v>
      </c>
      <c r="J236" s="19" t="n">
        <v>24</v>
      </c>
      <c r="K236" s="19" t="s">
        <v>280</v>
      </c>
    </row>
    <row r="237" customFormat="false" ht="15" hidden="false" customHeight="true" outlineLevel="0" collapsed="false">
      <c r="B237" s="19" t="s">
        <v>523</v>
      </c>
      <c r="C237" s="19" t="s">
        <v>249</v>
      </c>
      <c r="D237" s="19" t="s">
        <v>250</v>
      </c>
      <c r="E237" s="19" t="s">
        <v>251</v>
      </c>
      <c r="F237" s="19" t="s">
        <v>48</v>
      </c>
      <c r="G237" s="19" t="s">
        <v>49</v>
      </c>
      <c r="H237" s="19" t="s">
        <v>331</v>
      </c>
      <c r="I237" s="19" t="n">
        <v>16</v>
      </c>
      <c r="J237" s="19" t="n">
        <v>40</v>
      </c>
      <c r="K237" s="19" t="s">
        <v>280</v>
      </c>
    </row>
    <row r="238" customFormat="false" ht="15" hidden="false" customHeight="true" outlineLevel="0" collapsed="false">
      <c r="B238" s="19" t="s">
        <v>524</v>
      </c>
      <c r="C238" s="19" t="s">
        <v>253</v>
      </c>
      <c r="D238" s="19" t="s">
        <v>254</v>
      </c>
      <c r="E238" s="19" t="s">
        <v>251</v>
      </c>
      <c r="F238" s="19" t="s">
        <v>62</v>
      </c>
      <c r="G238" s="19" t="s">
        <v>63</v>
      </c>
      <c r="H238" s="19" t="s">
        <v>300</v>
      </c>
      <c r="I238" s="19" t="n">
        <v>16</v>
      </c>
      <c r="J238" s="19" t="n">
        <v>32</v>
      </c>
      <c r="K238" s="19" t="s">
        <v>280</v>
      </c>
    </row>
    <row r="239" customFormat="false" ht="15" hidden="false" customHeight="true" outlineLevel="0" collapsed="false">
      <c r="B239" s="19" t="s">
        <v>525</v>
      </c>
      <c r="C239" s="19" t="s">
        <v>233</v>
      </c>
      <c r="D239" s="19" t="s">
        <v>234</v>
      </c>
      <c r="E239" s="19" t="s">
        <v>235</v>
      </c>
      <c r="F239" s="19" t="s">
        <v>53</v>
      </c>
      <c r="G239" s="19" t="s">
        <v>54</v>
      </c>
      <c r="H239" s="19" t="s">
        <v>312</v>
      </c>
      <c r="I239" s="19" t="n">
        <v>12</v>
      </c>
      <c r="J239" s="19" t="n">
        <v>40</v>
      </c>
      <c r="K239" s="19" t="s">
        <v>280</v>
      </c>
    </row>
    <row r="240" customFormat="false" ht="15" hidden="false" customHeight="true" outlineLevel="0" collapsed="false">
      <c r="B240" s="19" t="s">
        <v>526</v>
      </c>
      <c r="C240" s="19" t="s">
        <v>253</v>
      </c>
      <c r="D240" s="19" t="s">
        <v>254</v>
      </c>
      <c r="E240" s="19" t="s">
        <v>251</v>
      </c>
      <c r="F240" s="19" t="s">
        <v>53</v>
      </c>
      <c r="G240" s="19" t="s">
        <v>54</v>
      </c>
      <c r="H240" s="19" t="s">
        <v>289</v>
      </c>
      <c r="I240" s="19" t="n">
        <v>14</v>
      </c>
      <c r="J240" s="19" t="n">
        <v>32</v>
      </c>
      <c r="K240" s="19" t="s">
        <v>280</v>
      </c>
    </row>
    <row r="241" customFormat="false" ht="15" hidden="false" customHeight="true" outlineLevel="0" collapsed="false">
      <c r="B241" s="19" t="s">
        <v>527</v>
      </c>
      <c r="C241" s="19" t="s">
        <v>238</v>
      </c>
      <c r="D241" s="19" t="s">
        <v>239</v>
      </c>
      <c r="E241" s="19" t="s">
        <v>240</v>
      </c>
      <c r="F241" s="19" t="s">
        <v>53</v>
      </c>
      <c r="G241" s="19" t="s">
        <v>54</v>
      </c>
      <c r="H241" s="19" t="s">
        <v>287</v>
      </c>
      <c r="I241" s="19" t="n">
        <v>33</v>
      </c>
      <c r="J241" s="19" t="n">
        <v>40</v>
      </c>
      <c r="K241" s="19" t="s">
        <v>280</v>
      </c>
    </row>
    <row r="242" customFormat="false" ht="15" hidden="false" customHeight="true" outlineLevel="0" collapsed="false">
      <c r="B242" s="19" t="s">
        <v>528</v>
      </c>
      <c r="C242" s="19" t="s">
        <v>231</v>
      </c>
      <c r="D242" s="19" t="s">
        <v>232</v>
      </c>
      <c r="E242" s="19" t="s">
        <v>229</v>
      </c>
      <c r="F242" s="19" t="s">
        <v>53</v>
      </c>
      <c r="G242" s="19" t="s">
        <v>54</v>
      </c>
      <c r="H242" s="19" t="s">
        <v>279</v>
      </c>
      <c r="I242" s="19" t="n">
        <v>12</v>
      </c>
      <c r="J242" s="19" t="n">
        <v>40</v>
      </c>
      <c r="K242" s="19" t="s">
        <v>280</v>
      </c>
    </row>
    <row r="243" customFormat="false" ht="15" hidden="false" customHeight="true" outlineLevel="0" collapsed="false">
      <c r="B243" s="19" t="s">
        <v>529</v>
      </c>
      <c r="C243" s="19" t="s">
        <v>231</v>
      </c>
      <c r="D243" s="19" t="s">
        <v>232</v>
      </c>
      <c r="E243" s="19" t="s">
        <v>229</v>
      </c>
      <c r="F243" s="19" t="s">
        <v>66</v>
      </c>
      <c r="G243" s="19" t="s">
        <v>67</v>
      </c>
      <c r="H243" s="19" t="s">
        <v>283</v>
      </c>
      <c r="I243" s="19" t="n">
        <v>14</v>
      </c>
      <c r="J243" s="19" t="n">
        <v>40</v>
      </c>
      <c r="K243" s="19" t="s">
        <v>280</v>
      </c>
    </row>
    <row r="244" customFormat="false" ht="15" hidden="false" customHeight="true" outlineLevel="0" collapsed="false">
      <c r="B244" s="19" t="s">
        <v>530</v>
      </c>
      <c r="C244" s="19" t="s">
        <v>264</v>
      </c>
      <c r="D244" s="19" t="s">
        <v>265</v>
      </c>
      <c r="E244" s="19" t="s">
        <v>266</v>
      </c>
      <c r="F244" s="19" t="s">
        <v>62</v>
      </c>
      <c r="G244" s="19" t="s">
        <v>63</v>
      </c>
      <c r="H244" s="19" t="s">
        <v>287</v>
      </c>
      <c r="I244" s="19" t="n">
        <v>13</v>
      </c>
      <c r="J244" s="19" t="n">
        <v>40</v>
      </c>
      <c r="K244" s="19" t="s">
        <v>280</v>
      </c>
    </row>
    <row r="245" customFormat="false" ht="15" hidden="false" customHeight="true" outlineLevel="0" collapsed="false">
      <c r="B245" s="19" t="s">
        <v>531</v>
      </c>
      <c r="C245" s="19" t="s">
        <v>242</v>
      </c>
      <c r="D245" s="19" t="s">
        <v>243</v>
      </c>
      <c r="E245" s="19" t="s">
        <v>244</v>
      </c>
      <c r="F245" s="19" t="s">
        <v>66</v>
      </c>
      <c r="G245" s="19" t="s">
        <v>67</v>
      </c>
      <c r="H245" s="19" t="s">
        <v>291</v>
      </c>
      <c r="I245" s="19" t="n">
        <v>34</v>
      </c>
      <c r="J245" s="19" t="n">
        <v>40</v>
      </c>
      <c r="K245" s="19" t="s">
        <v>280</v>
      </c>
    </row>
    <row r="246" customFormat="false" ht="15" hidden="false" customHeight="true" outlineLevel="0" collapsed="false">
      <c r="B246" s="19" t="s">
        <v>532</v>
      </c>
      <c r="C246" s="19" t="s">
        <v>223</v>
      </c>
      <c r="D246" s="19" t="s">
        <v>224</v>
      </c>
      <c r="E246" s="19" t="s">
        <v>225</v>
      </c>
      <c r="F246" s="19" t="s">
        <v>62</v>
      </c>
      <c r="G246" s="19" t="s">
        <v>63</v>
      </c>
      <c r="H246" s="19" t="s">
        <v>291</v>
      </c>
      <c r="I246" s="19" t="n">
        <v>8</v>
      </c>
      <c r="J246" s="19" t="n">
        <v>40</v>
      </c>
      <c r="K246" s="19" t="s">
        <v>280</v>
      </c>
    </row>
    <row r="247" customFormat="false" ht="15" hidden="false" customHeight="true" outlineLevel="0" collapsed="false">
      <c r="B247" s="19" t="s">
        <v>533</v>
      </c>
      <c r="C247" s="19" t="s">
        <v>242</v>
      </c>
      <c r="D247" s="19" t="s">
        <v>243</v>
      </c>
      <c r="E247" s="19" t="s">
        <v>244</v>
      </c>
      <c r="F247" s="19" t="s">
        <v>42</v>
      </c>
      <c r="G247" s="19" t="s">
        <v>43</v>
      </c>
      <c r="H247" s="19" t="s">
        <v>295</v>
      </c>
      <c r="I247" s="19" t="n">
        <v>15</v>
      </c>
      <c r="J247" s="19" t="n">
        <v>40</v>
      </c>
      <c r="K247" s="19" t="s">
        <v>280</v>
      </c>
    </row>
    <row r="248" customFormat="false" ht="15" hidden="false" customHeight="true" outlineLevel="0" collapsed="false">
      <c r="B248" s="19" t="s">
        <v>534</v>
      </c>
      <c r="C248" s="19" t="s">
        <v>236</v>
      </c>
      <c r="D248" s="19" t="s">
        <v>237</v>
      </c>
      <c r="E248" s="19" t="s">
        <v>235</v>
      </c>
      <c r="F248" s="19" t="s">
        <v>66</v>
      </c>
      <c r="G248" s="19" t="s">
        <v>67</v>
      </c>
      <c r="H248" s="19" t="s">
        <v>279</v>
      </c>
      <c r="I248" s="19" t="n">
        <v>12</v>
      </c>
      <c r="J248" s="19" t="n">
        <v>40</v>
      </c>
      <c r="K248" s="19" t="s">
        <v>280</v>
      </c>
    </row>
    <row r="249" customFormat="false" ht="15" hidden="false" customHeight="true" outlineLevel="0" collapsed="false">
      <c r="B249" s="19" t="s">
        <v>535</v>
      </c>
      <c r="C249" s="19" t="s">
        <v>258</v>
      </c>
      <c r="D249" s="19" t="s">
        <v>259</v>
      </c>
      <c r="E249" s="19" t="s">
        <v>260</v>
      </c>
      <c r="F249" s="19" t="s">
        <v>53</v>
      </c>
      <c r="G249" s="19" t="s">
        <v>54</v>
      </c>
      <c r="H249" s="19" t="s">
        <v>289</v>
      </c>
      <c r="I249" s="19" t="n">
        <v>13</v>
      </c>
      <c r="J249" s="19" t="n">
        <v>40</v>
      </c>
      <c r="K249" s="19" t="s">
        <v>280</v>
      </c>
    </row>
    <row r="250" customFormat="false" ht="15" hidden="false" customHeight="true" outlineLevel="0" collapsed="false">
      <c r="B250" s="19" t="s">
        <v>536</v>
      </c>
      <c r="C250" s="19" t="s">
        <v>537</v>
      </c>
      <c r="D250" s="19" t="s">
        <v>538</v>
      </c>
      <c r="E250" s="19" t="s">
        <v>235</v>
      </c>
      <c r="F250" s="19" t="s">
        <v>58</v>
      </c>
      <c r="G250" s="19" t="s">
        <v>59</v>
      </c>
      <c r="H250" s="19" t="s">
        <v>283</v>
      </c>
      <c r="I250" s="19" t="n">
        <v>30</v>
      </c>
      <c r="J250" s="19" t="n">
        <v>40</v>
      </c>
      <c r="K250" s="19" t="s">
        <v>280</v>
      </c>
    </row>
    <row r="251" customFormat="false" ht="15" hidden="false" customHeight="true" outlineLevel="0" collapsed="false">
      <c r="B251" s="19" t="s">
        <v>539</v>
      </c>
      <c r="C251" s="19" t="s">
        <v>267</v>
      </c>
      <c r="D251" s="19" t="s">
        <v>268</v>
      </c>
      <c r="E251" s="19" t="s">
        <v>269</v>
      </c>
      <c r="F251" s="19" t="s">
        <v>66</v>
      </c>
      <c r="G251" s="19" t="s">
        <v>67</v>
      </c>
      <c r="H251" s="19" t="s">
        <v>289</v>
      </c>
      <c r="I251" s="19" t="n">
        <v>6</v>
      </c>
      <c r="J251" s="19" t="n">
        <v>24</v>
      </c>
      <c r="K251" s="19" t="s">
        <v>280</v>
      </c>
    </row>
    <row r="252" customFormat="false" ht="15" hidden="false" customHeight="true" outlineLevel="0" collapsed="false">
      <c r="B252" s="19" t="s">
        <v>540</v>
      </c>
      <c r="C252" s="19" t="s">
        <v>242</v>
      </c>
      <c r="D252" s="19" t="s">
        <v>243</v>
      </c>
      <c r="E252" s="19" t="s">
        <v>244</v>
      </c>
      <c r="F252" s="19" t="s">
        <v>53</v>
      </c>
      <c r="G252" s="19" t="s">
        <v>54</v>
      </c>
      <c r="H252" s="19" t="s">
        <v>295</v>
      </c>
      <c r="I252" s="19" t="n">
        <v>21</v>
      </c>
      <c r="J252" s="19" t="n">
        <v>40</v>
      </c>
      <c r="K252" s="19" t="s">
        <v>280</v>
      </c>
    </row>
    <row r="253" customFormat="false" ht="15" hidden="false" customHeight="true" outlineLevel="0" collapsed="false">
      <c r="B253" s="19" t="s">
        <v>541</v>
      </c>
      <c r="C253" s="19" t="s">
        <v>245</v>
      </c>
      <c r="D253" s="19" t="s">
        <v>246</v>
      </c>
      <c r="E253" s="19" t="s">
        <v>247</v>
      </c>
      <c r="F253" s="19" t="s">
        <v>42</v>
      </c>
      <c r="G253" s="19" t="s">
        <v>43</v>
      </c>
      <c r="H253" s="19" t="s">
        <v>312</v>
      </c>
      <c r="I253" s="19" t="n">
        <v>16</v>
      </c>
      <c r="J253" s="19" t="n">
        <v>40</v>
      </c>
      <c r="K253" s="19" t="s">
        <v>280</v>
      </c>
    </row>
    <row r="254" customFormat="false" ht="15" hidden="false" customHeight="true" outlineLevel="0" collapsed="false">
      <c r="B254" s="19" t="s">
        <v>542</v>
      </c>
      <c r="C254" s="19" t="s">
        <v>242</v>
      </c>
      <c r="D254" s="19" t="s">
        <v>243</v>
      </c>
      <c r="E254" s="19" t="s">
        <v>244</v>
      </c>
      <c r="F254" s="19" t="s">
        <v>48</v>
      </c>
      <c r="G254" s="19" t="s">
        <v>49</v>
      </c>
      <c r="H254" s="19" t="s">
        <v>289</v>
      </c>
      <c r="I254" s="19" t="n">
        <v>34</v>
      </c>
      <c r="J254" s="19" t="n">
        <v>40</v>
      </c>
      <c r="K254" s="19" t="s">
        <v>280</v>
      </c>
    </row>
    <row r="255" customFormat="false" ht="15" hidden="false" customHeight="true" outlineLevel="0" collapsed="false">
      <c r="B255" s="19" t="s">
        <v>543</v>
      </c>
      <c r="C255" s="19" t="s">
        <v>236</v>
      </c>
      <c r="D255" s="19" t="s">
        <v>237</v>
      </c>
      <c r="E255" s="19" t="s">
        <v>235</v>
      </c>
      <c r="F255" s="19" t="s">
        <v>58</v>
      </c>
      <c r="G255" s="19" t="s">
        <v>59</v>
      </c>
      <c r="H255" s="19" t="s">
        <v>331</v>
      </c>
      <c r="I255" s="19" t="n">
        <v>38</v>
      </c>
      <c r="J255" s="19" t="n">
        <v>40</v>
      </c>
      <c r="K255" s="19" t="s">
        <v>280</v>
      </c>
    </row>
    <row r="256" customFormat="false" ht="15" hidden="false" customHeight="true" outlineLevel="0" collapsed="false">
      <c r="B256" s="19" t="s">
        <v>544</v>
      </c>
      <c r="C256" s="19" t="s">
        <v>242</v>
      </c>
      <c r="D256" s="19" t="s">
        <v>243</v>
      </c>
      <c r="E256" s="19" t="s">
        <v>244</v>
      </c>
      <c r="F256" s="19" t="s">
        <v>48</v>
      </c>
      <c r="G256" s="19" t="s">
        <v>49</v>
      </c>
      <c r="H256" s="19" t="s">
        <v>300</v>
      </c>
      <c r="I256" s="19" t="n">
        <v>15</v>
      </c>
      <c r="J256" s="19" t="n">
        <v>40</v>
      </c>
      <c r="K256" s="19" t="s">
        <v>280</v>
      </c>
    </row>
    <row r="257" customFormat="false" ht="15" hidden="false" customHeight="true" outlineLevel="0" collapsed="false">
      <c r="B257" s="19" t="s">
        <v>545</v>
      </c>
      <c r="C257" s="19" t="s">
        <v>264</v>
      </c>
      <c r="D257" s="19" t="s">
        <v>265</v>
      </c>
      <c r="E257" s="19" t="s">
        <v>266</v>
      </c>
      <c r="F257" s="19" t="s">
        <v>53</v>
      </c>
      <c r="G257" s="19" t="s">
        <v>54</v>
      </c>
      <c r="H257" s="19" t="s">
        <v>289</v>
      </c>
      <c r="I257" s="19" t="n">
        <v>14</v>
      </c>
      <c r="J257" s="19" t="n">
        <v>40</v>
      </c>
      <c r="K257" s="19" t="s">
        <v>280</v>
      </c>
    </row>
    <row r="258" customFormat="false" ht="15" hidden="false" customHeight="true" outlineLevel="0" collapsed="false">
      <c r="B258" s="19" t="s">
        <v>546</v>
      </c>
      <c r="C258" s="19" t="s">
        <v>267</v>
      </c>
      <c r="D258" s="19" t="s">
        <v>268</v>
      </c>
      <c r="E258" s="19" t="s">
        <v>269</v>
      </c>
      <c r="F258" s="19" t="s">
        <v>58</v>
      </c>
      <c r="G258" s="19" t="s">
        <v>59</v>
      </c>
      <c r="H258" s="19" t="s">
        <v>331</v>
      </c>
      <c r="I258" s="19" t="n">
        <v>7</v>
      </c>
      <c r="J258" s="19" t="n">
        <v>24</v>
      </c>
      <c r="K258" s="19" t="s">
        <v>280</v>
      </c>
    </row>
    <row r="259" customFormat="false" ht="15" hidden="false" customHeight="true" outlineLevel="0" collapsed="false">
      <c r="B259" s="19" t="s">
        <v>547</v>
      </c>
      <c r="C259" s="19" t="s">
        <v>264</v>
      </c>
      <c r="D259" s="19" t="s">
        <v>265</v>
      </c>
      <c r="E259" s="19" t="s">
        <v>266</v>
      </c>
      <c r="F259" s="19" t="s">
        <v>53</v>
      </c>
      <c r="G259" s="19" t="s">
        <v>54</v>
      </c>
      <c r="H259" s="19" t="s">
        <v>312</v>
      </c>
      <c r="I259" s="19" t="n">
        <v>13</v>
      </c>
      <c r="J259" s="19" t="n">
        <v>40</v>
      </c>
      <c r="K259" s="19" t="s">
        <v>280</v>
      </c>
    </row>
    <row r="260" customFormat="false" ht="15" hidden="false" customHeight="true" outlineLevel="0" collapsed="false">
      <c r="B260" s="19" t="s">
        <v>548</v>
      </c>
      <c r="C260" s="19" t="s">
        <v>233</v>
      </c>
      <c r="D260" s="19" t="s">
        <v>234</v>
      </c>
      <c r="E260" s="19" t="s">
        <v>235</v>
      </c>
      <c r="F260" s="19" t="s">
        <v>48</v>
      </c>
      <c r="G260" s="19" t="s">
        <v>49</v>
      </c>
      <c r="H260" s="19" t="s">
        <v>293</v>
      </c>
      <c r="I260" s="19" t="n">
        <v>10</v>
      </c>
      <c r="J260" s="19" t="n">
        <v>40</v>
      </c>
      <c r="K260" s="19" t="s">
        <v>280</v>
      </c>
    </row>
    <row r="261" customFormat="false" ht="15" hidden="false" customHeight="true" outlineLevel="0" collapsed="false">
      <c r="B261" s="19" t="s">
        <v>549</v>
      </c>
      <c r="C261" s="19" t="s">
        <v>245</v>
      </c>
      <c r="D261" s="19" t="s">
        <v>246</v>
      </c>
      <c r="E261" s="19" t="s">
        <v>247</v>
      </c>
      <c r="F261" s="19" t="s">
        <v>53</v>
      </c>
      <c r="G261" s="19" t="s">
        <v>54</v>
      </c>
      <c r="H261" s="19" t="s">
        <v>300</v>
      </c>
      <c r="I261" s="19" t="n">
        <v>20</v>
      </c>
      <c r="J261" s="19" t="n">
        <v>40</v>
      </c>
      <c r="K261" s="19" t="s">
        <v>280</v>
      </c>
    </row>
    <row r="262" customFormat="false" ht="15" hidden="false" customHeight="true" outlineLevel="0" collapsed="false">
      <c r="B262" s="19" t="s">
        <v>550</v>
      </c>
      <c r="C262" s="19" t="s">
        <v>231</v>
      </c>
      <c r="D262" s="19" t="s">
        <v>232</v>
      </c>
      <c r="E262" s="19" t="s">
        <v>229</v>
      </c>
      <c r="F262" s="19" t="s">
        <v>48</v>
      </c>
      <c r="G262" s="19" t="s">
        <v>49</v>
      </c>
      <c r="H262" s="19" t="s">
        <v>331</v>
      </c>
      <c r="I262" s="19" t="n">
        <v>20</v>
      </c>
      <c r="J262" s="19" t="n">
        <v>40</v>
      </c>
      <c r="K262" s="19" t="s">
        <v>280</v>
      </c>
    </row>
    <row r="263" customFormat="false" ht="15" hidden="false" customHeight="true" outlineLevel="0" collapsed="false">
      <c r="B263" s="19" t="s">
        <v>551</v>
      </c>
      <c r="C263" s="19" t="s">
        <v>261</v>
      </c>
      <c r="D263" s="19" t="s">
        <v>262</v>
      </c>
      <c r="E263" s="19" t="s">
        <v>263</v>
      </c>
      <c r="F263" s="19" t="s">
        <v>58</v>
      </c>
      <c r="G263" s="19" t="s">
        <v>59</v>
      </c>
      <c r="H263" s="19" t="s">
        <v>287</v>
      </c>
      <c r="I263" s="19" t="n">
        <v>16</v>
      </c>
      <c r="J263" s="19" t="n">
        <v>40</v>
      </c>
      <c r="K263" s="19" t="s">
        <v>280</v>
      </c>
    </row>
    <row r="264" customFormat="false" ht="15" hidden="false" customHeight="true" outlineLevel="0" collapsed="false">
      <c r="B264" s="19" t="s">
        <v>552</v>
      </c>
      <c r="C264" s="19" t="s">
        <v>249</v>
      </c>
      <c r="D264" s="19" t="s">
        <v>250</v>
      </c>
      <c r="E264" s="19" t="s">
        <v>251</v>
      </c>
      <c r="F264" s="19" t="s">
        <v>42</v>
      </c>
      <c r="G264" s="19" t="s">
        <v>43</v>
      </c>
      <c r="H264" s="19" t="s">
        <v>293</v>
      </c>
      <c r="I264" s="19" t="n">
        <v>17</v>
      </c>
      <c r="J264" s="19" t="n">
        <v>40</v>
      </c>
      <c r="K264" s="19" t="s">
        <v>280</v>
      </c>
    </row>
    <row r="265" customFormat="false" ht="15" hidden="false" customHeight="true" outlineLevel="0" collapsed="false">
      <c r="B265" s="19" t="s">
        <v>553</v>
      </c>
      <c r="C265" s="19" t="s">
        <v>245</v>
      </c>
      <c r="D265" s="19" t="s">
        <v>246</v>
      </c>
      <c r="E265" s="19" t="s">
        <v>247</v>
      </c>
      <c r="F265" s="19" t="s">
        <v>42</v>
      </c>
      <c r="G265" s="19" t="s">
        <v>43</v>
      </c>
      <c r="H265" s="19" t="s">
        <v>289</v>
      </c>
      <c r="I265" s="19" t="n">
        <v>32</v>
      </c>
      <c r="J265" s="19" t="n">
        <v>40</v>
      </c>
      <c r="K265" s="19" t="s">
        <v>280</v>
      </c>
    </row>
    <row r="266" customFormat="false" ht="15" hidden="false" customHeight="true" outlineLevel="0" collapsed="false">
      <c r="B266" s="19" t="s">
        <v>554</v>
      </c>
      <c r="C266" s="19" t="s">
        <v>249</v>
      </c>
      <c r="D266" s="19" t="s">
        <v>250</v>
      </c>
      <c r="E266" s="19" t="s">
        <v>251</v>
      </c>
      <c r="F266" s="19" t="s">
        <v>66</v>
      </c>
      <c r="G266" s="19" t="s">
        <v>67</v>
      </c>
      <c r="H266" s="19" t="s">
        <v>283</v>
      </c>
      <c r="I266" s="19" t="n">
        <v>10</v>
      </c>
      <c r="J266" s="19" t="n">
        <v>40</v>
      </c>
      <c r="K266" s="19" t="s">
        <v>280</v>
      </c>
    </row>
    <row r="267" customFormat="false" ht="15" hidden="false" customHeight="true" outlineLevel="0" collapsed="false">
      <c r="B267" s="19" t="s">
        <v>555</v>
      </c>
      <c r="C267" s="19" t="s">
        <v>236</v>
      </c>
      <c r="D267" s="19" t="s">
        <v>237</v>
      </c>
      <c r="E267" s="19" t="s">
        <v>235</v>
      </c>
      <c r="F267" s="19" t="s">
        <v>62</v>
      </c>
      <c r="G267" s="19" t="s">
        <v>63</v>
      </c>
      <c r="H267" s="19" t="s">
        <v>300</v>
      </c>
      <c r="I267" s="19" t="n">
        <v>12</v>
      </c>
      <c r="J267" s="19" t="n">
        <v>40</v>
      </c>
      <c r="K267" s="19" t="s">
        <v>280</v>
      </c>
    </row>
    <row r="268" customFormat="false" ht="15" hidden="false" customHeight="true" outlineLevel="0" collapsed="false">
      <c r="B268" s="19" t="s">
        <v>556</v>
      </c>
      <c r="C268" s="19" t="s">
        <v>245</v>
      </c>
      <c r="D268" s="19" t="s">
        <v>246</v>
      </c>
      <c r="E268" s="19" t="s">
        <v>247</v>
      </c>
      <c r="F268" s="19" t="s">
        <v>42</v>
      </c>
      <c r="G268" s="19" t="s">
        <v>43</v>
      </c>
      <c r="H268" s="19" t="s">
        <v>283</v>
      </c>
      <c r="I268" s="19" t="n">
        <v>16</v>
      </c>
      <c r="J268" s="19" t="n">
        <v>40</v>
      </c>
      <c r="K268" s="19" t="s">
        <v>280</v>
      </c>
    </row>
    <row r="269" customFormat="false" ht="15" hidden="false" customHeight="true" outlineLevel="0" collapsed="false">
      <c r="B269" s="19" t="s">
        <v>557</v>
      </c>
      <c r="C269" s="19" t="s">
        <v>264</v>
      </c>
      <c r="D269" s="19" t="s">
        <v>265</v>
      </c>
      <c r="E269" s="19" t="s">
        <v>266</v>
      </c>
      <c r="F269" s="19" t="s">
        <v>42</v>
      </c>
      <c r="G269" s="19" t="s">
        <v>43</v>
      </c>
      <c r="H269" s="19" t="s">
        <v>295</v>
      </c>
      <c r="I269" s="19" t="n">
        <v>25</v>
      </c>
      <c r="J269" s="19" t="n">
        <v>40</v>
      </c>
      <c r="K269" s="19" t="s">
        <v>280</v>
      </c>
    </row>
    <row r="270" customFormat="false" ht="15" hidden="false" customHeight="true" outlineLevel="0" collapsed="false">
      <c r="B270" s="19" t="s">
        <v>558</v>
      </c>
      <c r="C270" s="19" t="s">
        <v>253</v>
      </c>
      <c r="D270" s="19" t="s">
        <v>254</v>
      </c>
      <c r="E270" s="19" t="s">
        <v>251</v>
      </c>
      <c r="F270" s="19" t="s">
        <v>62</v>
      </c>
      <c r="G270" s="19" t="s">
        <v>63</v>
      </c>
      <c r="H270" s="19" t="s">
        <v>287</v>
      </c>
      <c r="I270" s="19" t="n">
        <v>30</v>
      </c>
      <c r="J270" s="19" t="n">
        <v>32</v>
      </c>
      <c r="K270" s="19" t="s">
        <v>280</v>
      </c>
    </row>
    <row r="271" customFormat="false" ht="15" hidden="false" customHeight="true" outlineLevel="0" collapsed="false">
      <c r="B271" s="19" t="s">
        <v>559</v>
      </c>
      <c r="C271" s="19" t="s">
        <v>261</v>
      </c>
      <c r="D271" s="19" t="s">
        <v>262</v>
      </c>
      <c r="E271" s="19" t="s">
        <v>263</v>
      </c>
      <c r="F271" s="19" t="s">
        <v>66</v>
      </c>
      <c r="G271" s="19" t="s">
        <v>67</v>
      </c>
      <c r="H271" s="19" t="s">
        <v>279</v>
      </c>
      <c r="I271" s="19" t="n">
        <v>21</v>
      </c>
      <c r="J271" s="19" t="n">
        <v>40</v>
      </c>
      <c r="K271" s="19" t="s">
        <v>280</v>
      </c>
    </row>
    <row r="272" customFormat="false" ht="15" hidden="false" customHeight="true" outlineLevel="0" collapsed="false">
      <c r="B272" s="19" t="s">
        <v>560</v>
      </c>
      <c r="C272" s="19" t="s">
        <v>238</v>
      </c>
      <c r="D272" s="19" t="s">
        <v>239</v>
      </c>
      <c r="E272" s="19" t="s">
        <v>240</v>
      </c>
      <c r="F272" s="19" t="s">
        <v>53</v>
      </c>
      <c r="G272" s="19" t="s">
        <v>54</v>
      </c>
      <c r="H272" s="19" t="s">
        <v>283</v>
      </c>
      <c r="I272" s="19" t="n">
        <v>21</v>
      </c>
      <c r="J272" s="19" t="n">
        <v>40</v>
      </c>
      <c r="K272" s="19" t="s">
        <v>280</v>
      </c>
    </row>
    <row r="273" customFormat="false" ht="15" hidden="false" customHeight="true" outlineLevel="0" collapsed="false">
      <c r="B273" s="19" t="s">
        <v>561</v>
      </c>
      <c r="C273" s="19" t="s">
        <v>264</v>
      </c>
      <c r="D273" s="19" t="s">
        <v>265</v>
      </c>
      <c r="E273" s="19" t="s">
        <v>266</v>
      </c>
      <c r="F273" s="19" t="s">
        <v>42</v>
      </c>
      <c r="G273" s="19" t="s">
        <v>43</v>
      </c>
      <c r="H273" s="19" t="s">
        <v>293</v>
      </c>
      <c r="I273" s="19" t="n">
        <v>19</v>
      </c>
      <c r="J273" s="19" t="n">
        <v>40</v>
      </c>
      <c r="K273" s="19" t="s">
        <v>280</v>
      </c>
    </row>
    <row r="274" customFormat="false" ht="15" hidden="false" customHeight="true" outlineLevel="0" collapsed="false">
      <c r="B274" s="19" t="s">
        <v>562</v>
      </c>
      <c r="C274" s="19" t="s">
        <v>245</v>
      </c>
      <c r="D274" s="19" t="s">
        <v>246</v>
      </c>
      <c r="E274" s="19" t="s">
        <v>247</v>
      </c>
      <c r="F274" s="19" t="s">
        <v>62</v>
      </c>
      <c r="G274" s="19" t="s">
        <v>63</v>
      </c>
      <c r="H274" s="19" t="s">
        <v>331</v>
      </c>
      <c r="I274" s="19" t="n">
        <v>24</v>
      </c>
      <c r="J274" s="19" t="n">
        <v>40</v>
      </c>
      <c r="K274" s="19" t="s">
        <v>280</v>
      </c>
    </row>
    <row r="275" customFormat="false" ht="15" hidden="false" customHeight="true" outlineLevel="0" collapsed="false">
      <c r="B275" s="19" t="s">
        <v>563</v>
      </c>
      <c r="C275" s="19" t="s">
        <v>236</v>
      </c>
      <c r="D275" s="19" t="s">
        <v>237</v>
      </c>
      <c r="E275" s="19" t="s">
        <v>235</v>
      </c>
      <c r="F275" s="19" t="s">
        <v>58</v>
      </c>
      <c r="G275" s="19" t="s">
        <v>59</v>
      </c>
      <c r="H275" s="19" t="s">
        <v>283</v>
      </c>
      <c r="I275" s="19" t="n">
        <v>15</v>
      </c>
      <c r="J275" s="19" t="n">
        <v>40</v>
      </c>
      <c r="K275" s="19" t="s">
        <v>280</v>
      </c>
    </row>
    <row r="276" customFormat="false" ht="15" hidden="false" customHeight="true" outlineLevel="0" collapsed="false">
      <c r="B276" s="19" t="s">
        <v>564</v>
      </c>
      <c r="C276" s="19" t="s">
        <v>236</v>
      </c>
      <c r="D276" s="19" t="s">
        <v>237</v>
      </c>
      <c r="E276" s="19" t="s">
        <v>235</v>
      </c>
      <c r="F276" s="19" t="s">
        <v>53</v>
      </c>
      <c r="G276" s="19" t="s">
        <v>54</v>
      </c>
      <c r="H276" s="19" t="s">
        <v>312</v>
      </c>
      <c r="I276" s="19" t="n">
        <v>22</v>
      </c>
      <c r="J276" s="19" t="n">
        <v>40</v>
      </c>
      <c r="K276" s="19" t="s">
        <v>280</v>
      </c>
    </row>
    <row r="277" customFormat="false" ht="15" hidden="false" customHeight="true" outlineLevel="0" collapsed="false">
      <c r="B277" s="19" t="s">
        <v>565</v>
      </c>
      <c r="C277" s="19" t="s">
        <v>238</v>
      </c>
      <c r="D277" s="19" t="s">
        <v>239</v>
      </c>
      <c r="E277" s="19" t="s">
        <v>240</v>
      </c>
      <c r="F277" s="19" t="s">
        <v>62</v>
      </c>
      <c r="G277" s="19" t="s">
        <v>63</v>
      </c>
      <c r="H277" s="19" t="s">
        <v>309</v>
      </c>
      <c r="I277" s="19" t="n">
        <v>37</v>
      </c>
      <c r="J277" s="19" t="n">
        <v>40</v>
      </c>
      <c r="K277" s="19" t="s">
        <v>280</v>
      </c>
    </row>
    <row r="278" customFormat="false" ht="15" hidden="false" customHeight="true" outlineLevel="0" collapsed="false">
      <c r="B278" s="19" t="s">
        <v>566</v>
      </c>
      <c r="C278" s="19" t="s">
        <v>227</v>
      </c>
      <c r="D278" s="19" t="s">
        <v>228</v>
      </c>
      <c r="E278" s="19" t="s">
        <v>229</v>
      </c>
      <c r="F278" s="19" t="s">
        <v>66</v>
      </c>
      <c r="G278" s="19" t="s">
        <v>67</v>
      </c>
      <c r="H278" s="19" t="s">
        <v>331</v>
      </c>
      <c r="I278" s="19" t="n">
        <v>19</v>
      </c>
      <c r="J278" s="19" t="n">
        <v>40</v>
      </c>
      <c r="K278" s="19" t="s">
        <v>280</v>
      </c>
    </row>
    <row r="279" customFormat="false" ht="15" hidden="false" customHeight="true" outlineLevel="0" collapsed="false">
      <c r="B279" s="19" t="s">
        <v>567</v>
      </c>
      <c r="C279" s="19" t="s">
        <v>267</v>
      </c>
      <c r="D279" s="19" t="s">
        <v>268</v>
      </c>
      <c r="E279" s="19" t="s">
        <v>269</v>
      </c>
      <c r="F279" s="19" t="s">
        <v>58</v>
      </c>
      <c r="G279" s="19" t="s">
        <v>59</v>
      </c>
      <c r="H279" s="19" t="s">
        <v>300</v>
      </c>
      <c r="I279" s="19" t="n">
        <v>12</v>
      </c>
      <c r="J279" s="19" t="n">
        <v>24</v>
      </c>
      <c r="K279" s="19" t="s">
        <v>280</v>
      </c>
    </row>
    <row r="280" customFormat="false" ht="15" hidden="false" customHeight="true" outlineLevel="0" collapsed="false">
      <c r="B280" s="19" t="s">
        <v>568</v>
      </c>
      <c r="C280" s="19" t="s">
        <v>255</v>
      </c>
      <c r="D280" s="19" t="s">
        <v>256</v>
      </c>
      <c r="E280" s="19" t="s">
        <v>41</v>
      </c>
      <c r="F280" s="19" t="s">
        <v>53</v>
      </c>
      <c r="G280" s="19" t="s">
        <v>54</v>
      </c>
      <c r="H280" s="19" t="s">
        <v>295</v>
      </c>
      <c r="I280" s="19" t="n">
        <v>9</v>
      </c>
      <c r="J280" s="19" t="n">
        <v>40</v>
      </c>
      <c r="K280" s="19" t="s">
        <v>280</v>
      </c>
    </row>
    <row r="281" customFormat="false" ht="15" hidden="false" customHeight="true" outlineLevel="0" collapsed="false">
      <c r="B281" s="19" t="s">
        <v>569</v>
      </c>
      <c r="C281" s="19" t="s">
        <v>223</v>
      </c>
      <c r="D281" s="19" t="s">
        <v>224</v>
      </c>
      <c r="E281" s="19" t="s">
        <v>225</v>
      </c>
      <c r="F281" s="19" t="s">
        <v>58</v>
      </c>
      <c r="G281" s="19" t="s">
        <v>59</v>
      </c>
      <c r="H281" s="19" t="s">
        <v>279</v>
      </c>
      <c r="I281" s="19" t="n">
        <v>11</v>
      </c>
      <c r="J281" s="19" t="n">
        <v>40</v>
      </c>
      <c r="K281" s="19" t="s">
        <v>280</v>
      </c>
    </row>
    <row r="282" customFormat="false" ht="15" hidden="false" customHeight="true" outlineLevel="0" collapsed="false">
      <c r="B282" s="19" t="s">
        <v>570</v>
      </c>
      <c r="C282" s="19" t="s">
        <v>231</v>
      </c>
      <c r="D282" s="19" t="s">
        <v>232</v>
      </c>
      <c r="E282" s="19" t="s">
        <v>229</v>
      </c>
      <c r="F282" s="19" t="s">
        <v>53</v>
      </c>
      <c r="G282" s="19" t="s">
        <v>54</v>
      </c>
      <c r="H282" s="19" t="s">
        <v>283</v>
      </c>
      <c r="I282" s="19" t="n">
        <v>20</v>
      </c>
      <c r="J282" s="19" t="n">
        <v>40</v>
      </c>
      <c r="K282" s="19" t="s">
        <v>280</v>
      </c>
    </row>
    <row r="283" customFormat="false" ht="15" hidden="false" customHeight="true" outlineLevel="0" collapsed="false">
      <c r="B283" s="19" t="s">
        <v>571</v>
      </c>
      <c r="C283" s="19" t="s">
        <v>253</v>
      </c>
      <c r="D283" s="19" t="s">
        <v>254</v>
      </c>
      <c r="E283" s="19" t="s">
        <v>251</v>
      </c>
      <c r="F283" s="19" t="s">
        <v>42</v>
      </c>
      <c r="G283" s="19" t="s">
        <v>43</v>
      </c>
      <c r="H283" s="19" t="s">
        <v>285</v>
      </c>
      <c r="I283" s="19" t="n">
        <v>29</v>
      </c>
      <c r="J283" s="19" t="n">
        <v>32</v>
      </c>
      <c r="K283" s="19" t="s">
        <v>280</v>
      </c>
    </row>
    <row r="284" customFormat="false" ht="15" hidden="false" customHeight="true" outlineLevel="0" collapsed="false">
      <c r="B284" s="19" t="s">
        <v>572</v>
      </c>
      <c r="C284" s="19" t="s">
        <v>258</v>
      </c>
      <c r="D284" s="19" t="s">
        <v>259</v>
      </c>
      <c r="E284" s="19" t="s">
        <v>260</v>
      </c>
      <c r="F284" s="19" t="s">
        <v>53</v>
      </c>
      <c r="G284" s="19" t="s">
        <v>54</v>
      </c>
      <c r="H284" s="19" t="s">
        <v>285</v>
      </c>
      <c r="I284" s="19" t="n">
        <v>12</v>
      </c>
      <c r="J284" s="19" t="n">
        <v>40</v>
      </c>
      <c r="K284" s="19" t="s">
        <v>280</v>
      </c>
    </row>
    <row r="285" customFormat="false" ht="15" hidden="false" customHeight="true" outlineLevel="0" collapsed="false">
      <c r="B285" s="19" t="s">
        <v>573</v>
      </c>
      <c r="C285" s="19" t="s">
        <v>267</v>
      </c>
      <c r="D285" s="19" t="s">
        <v>268</v>
      </c>
      <c r="E285" s="19" t="s">
        <v>269</v>
      </c>
      <c r="F285" s="19" t="s">
        <v>48</v>
      </c>
      <c r="G285" s="19" t="s">
        <v>49</v>
      </c>
      <c r="H285" s="19" t="s">
        <v>285</v>
      </c>
      <c r="I285" s="19" t="n">
        <v>18</v>
      </c>
      <c r="J285" s="19" t="n">
        <v>24</v>
      </c>
      <c r="K285" s="19" t="s">
        <v>280</v>
      </c>
    </row>
    <row r="286" customFormat="false" ht="15" hidden="false" customHeight="true" outlineLevel="0" collapsed="false">
      <c r="B286" s="19" t="s">
        <v>574</v>
      </c>
      <c r="C286" s="19" t="s">
        <v>258</v>
      </c>
      <c r="D286" s="19" t="s">
        <v>259</v>
      </c>
      <c r="E286" s="19" t="s">
        <v>260</v>
      </c>
      <c r="F286" s="19" t="s">
        <v>58</v>
      </c>
      <c r="G286" s="19" t="s">
        <v>59</v>
      </c>
      <c r="H286" s="19" t="s">
        <v>291</v>
      </c>
      <c r="I286" s="19" t="n">
        <v>20</v>
      </c>
      <c r="J286" s="19" t="n">
        <v>40</v>
      </c>
      <c r="K286" s="19" t="s">
        <v>280</v>
      </c>
    </row>
    <row r="287" customFormat="false" ht="15" hidden="false" customHeight="true" outlineLevel="0" collapsed="false">
      <c r="B287" s="19" t="s">
        <v>575</v>
      </c>
      <c r="C287" s="19" t="s">
        <v>258</v>
      </c>
      <c r="D287" s="19" t="s">
        <v>259</v>
      </c>
      <c r="E287" s="19" t="s">
        <v>260</v>
      </c>
      <c r="F287" s="19" t="s">
        <v>58</v>
      </c>
      <c r="G287" s="19" t="s">
        <v>59</v>
      </c>
      <c r="H287" s="19" t="s">
        <v>295</v>
      </c>
      <c r="I287" s="19" t="n">
        <v>34</v>
      </c>
      <c r="J287" s="19" t="n">
        <v>40</v>
      </c>
      <c r="K287" s="19" t="s">
        <v>280</v>
      </c>
    </row>
    <row r="288" customFormat="false" ht="15" hidden="false" customHeight="true" outlineLevel="0" collapsed="false">
      <c r="B288" s="19" t="s">
        <v>576</v>
      </c>
      <c r="C288" s="19" t="s">
        <v>236</v>
      </c>
      <c r="D288" s="19" t="s">
        <v>237</v>
      </c>
      <c r="E288" s="19" t="s">
        <v>235</v>
      </c>
      <c r="F288" s="19" t="s">
        <v>58</v>
      </c>
      <c r="G288" s="19" t="s">
        <v>59</v>
      </c>
      <c r="H288" s="19" t="s">
        <v>293</v>
      </c>
      <c r="I288" s="19" t="n">
        <v>7</v>
      </c>
      <c r="J288" s="19" t="n">
        <v>40</v>
      </c>
      <c r="K288" s="19" t="s">
        <v>280</v>
      </c>
    </row>
    <row r="289" customFormat="false" ht="15" hidden="false" customHeight="true" outlineLevel="0" collapsed="false">
      <c r="B289" s="19" t="s">
        <v>577</v>
      </c>
      <c r="C289" s="19" t="s">
        <v>249</v>
      </c>
      <c r="D289" s="19" t="s">
        <v>250</v>
      </c>
      <c r="E289" s="19" t="s">
        <v>251</v>
      </c>
      <c r="F289" s="19" t="s">
        <v>48</v>
      </c>
      <c r="G289" s="19" t="s">
        <v>49</v>
      </c>
      <c r="H289" s="19" t="s">
        <v>289</v>
      </c>
      <c r="I289" s="19" t="n">
        <v>12</v>
      </c>
      <c r="J289" s="19" t="n">
        <v>40</v>
      </c>
      <c r="K289" s="19" t="s">
        <v>280</v>
      </c>
    </row>
    <row r="290" customFormat="false" ht="15" hidden="false" customHeight="true" outlineLevel="0" collapsed="false">
      <c r="B290" s="19" t="s">
        <v>578</v>
      </c>
      <c r="C290" s="19" t="s">
        <v>227</v>
      </c>
      <c r="D290" s="19" t="s">
        <v>228</v>
      </c>
      <c r="E290" s="19" t="s">
        <v>229</v>
      </c>
      <c r="F290" s="19" t="s">
        <v>58</v>
      </c>
      <c r="G290" s="19" t="s">
        <v>59</v>
      </c>
      <c r="H290" s="19" t="s">
        <v>289</v>
      </c>
      <c r="I290" s="19" t="n">
        <v>10</v>
      </c>
      <c r="J290" s="19" t="n">
        <v>40</v>
      </c>
      <c r="K290" s="19" t="s">
        <v>280</v>
      </c>
    </row>
    <row r="291" customFormat="false" ht="15" hidden="false" customHeight="true" outlineLevel="0" collapsed="false">
      <c r="B291" s="19" t="s">
        <v>579</v>
      </c>
      <c r="C291" s="19" t="s">
        <v>249</v>
      </c>
      <c r="D291" s="19" t="s">
        <v>250</v>
      </c>
      <c r="E291" s="19" t="s">
        <v>251</v>
      </c>
      <c r="F291" s="19" t="s">
        <v>53</v>
      </c>
      <c r="G291" s="19" t="s">
        <v>54</v>
      </c>
      <c r="H291" s="19" t="s">
        <v>309</v>
      </c>
      <c r="I291" s="19" t="n">
        <v>19</v>
      </c>
      <c r="J291" s="19" t="n">
        <v>40</v>
      </c>
      <c r="K291" s="19" t="s">
        <v>280</v>
      </c>
    </row>
    <row r="292" customFormat="false" ht="15" hidden="false" customHeight="true" outlineLevel="0" collapsed="false">
      <c r="B292" s="19" t="s">
        <v>580</v>
      </c>
      <c r="C292" s="19" t="s">
        <v>227</v>
      </c>
      <c r="D292" s="19" t="s">
        <v>228</v>
      </c>
      <c r="E292" s="19" t="s">
        <v>229</v>
      </c>
      <c r="F292" s="19" t="s">
        <v>62</v>
      </c>
      <c r="G292" s="19" t="s">
        <v>63</v>
      </c>
      <c r="H292" s="19" t="s">
        <v>289</v>
      </c>
      <c r="I292" s="19" t="n">
        <v>11</v>
      </c>
      <c r="J292" s="19" t="n">
        <v>40</v>
      </c>
      <c r="K292" s="19" t="s">
        <v>280</v>
      </c>
    </row>
    <row r="293" customFormat="false" ht="15" hidden="false" customHeight="true" outlineLevel="0" collapsed="false">
      <c r="B293" s="19" t="s">
        <v>581</v>
      </c>
      <c r="C293" s="19" t="s">
        <v>231</v>
      </c>
      <c r="D293" s="19" t="s">
        <v>232</v>
      </c>
      <c r="E293" s="19" t="s">
        <v>229</v>
      </c>
      <c r="F293" s="19" t="s">
        <v>42</v>
      </c>
      <c r="G293" s="19" t="s">
        <v>43</v>
      </c>
      <c r="H293" s="19" t="s">
        <v>285</v>
      </c>
      <c r="I293" s="19" t="n">
        <v>22</v>
      </c>
      <c r="J293" s="19" t="n">
        <v>40</v>
      </c>
      <c r="K293" s="19" t="s">
        <v>280</v>
      </c>
    </row>
    <row r="294" customFormat="false" ht="15" hidden="false" customHeight="true" outlineLevel="0" collapsed="false">
      <c r="B294" s="19" t="s">
        <v>582</v>
      </c>
      <c r="C294" s="19" t="s">
        <v>242</v>
      </c>
      <c r="D294" s="19" t="s">
        <v>243</v>
      </c>
      <c r="E294" s="19" t="s">
        <v>244</v>
      </c>
      <c r="F294" s="19" t="s">
        <v>62</v>
      </c>
      <c r="G294" s="19" t="s">
        <v>63</v>
      </c>
      <c r="H294" s="19" t="s">
        <v>287</v>
      </c>
      <c r="I294" s="19" t="n">
        <v>18</v>
      </c>
      <c r="J294" s="19" t="n">
        <v>40</v>
      </c>
      <c r="K294" s="19" t="s">
        <v>280</v>
      </c>
    </row>
    <row r="295" customFormat="false" ht="15" hidden="false" customHeight="true" outlineLevel="0" collapsed="false">
      <c r="B295" s="19" t="s">
        <v>583</v>
      </c>
      <c r="C295" s="19" t="s">
        <v>236</v>
      </c>
      <c r="D295" s="19" t="s">
        <v>237</v>
      </c>
      <c r="E295" s="19" t="s">
        <v>235</v>
      </c>
      <c r="F295" s="19" t="s">
        <v>48</v>
      </c>
      <c r="G295" s="19" t="s">
        <v>49</v>
      </c>
      <c r="H295" s="19" t="s">
        <v>293</v>
      </c>
      <c r="I295" s="19" t="n">
        <v>8</v>
      </c>
      <c r="J295" s="19" t="n">
        <v>40</v>
      </c>
      <c r="K295" s="19" t="s">
        <v>280</v>
      </c>
    </row>
    <row r="296" customFormat="false" ht="15" hidden="false" customHeight="true" outlineLevel="0" collapsed="false">
      <c r="B296" s="19" t="s">
        <v>584</v>
      </c>
      <c r="C296" s="19" t="s">
        <v>223</v>
      </c>
      <c r="D296" s="19" t="s">
        <v>224</v>
      </c>
      <c r="E296" s="19" t="s">
        <v>225</v>
      </c>
      <c r="F296" s="19" t="s">
        <v>42</v>
      </c>
      <c r="G296" s="19" t="s">
        <v>43</v>
      </c>
      <c r="H296" s="19" t="s">
        <v>300</v>
      </c>
      <c r="I296" s="19" t="n">
        <v>32</v>
      </c>
      <c r="J296" s="19" t="n">
        <v>40</v>
      </c>
      <c r="K296" s="19" t="s">
        <v>280</v>
      </c>
    </row>
    <row r="297" customFormat="false" ht="15" hidden="false" customHeight="true" outlineLevel="0" collapsed="false">
      <c r="B297" s="19" t="s">
        <v>585</v>
      </c>
      <c r="C297" s="19" t="s">
        <v>261</v>
      </c>
      <c r="D297" s="19" t="s">
        <v>262</v>
      </c>
      <c r="E297" s="19" t="s">
        <v>263</v>
      </c>
      <c r="F297" s="19" t="s">
        <v>62</v>
      </c>
      <c r="G297" s="19" t="s">
        <v>63</v>
      </c>
      <c r="H297" s="19" t="s">
        <v>291</v>
      </c>
      <c r="I297" s="19" t="n">
        <v>12</v>
      </c>
      <c r="J297" s="19" t="n">
        <v>40</v>
      </c>
      <c r="K297" s="19" t="s">
        <v>280</v>
      </c>
    </row>
    <row r="298" customFormat="false" ht="15" hidden="false" customHeight="true" outlineLevel="0" collapsed="false">
      <c r="B298" s="19" t="s">
        <v>586</v>
      </c>
      <c r="C298" s="19" t="s">
        <v>236</v>
      </c>
      <c r="D298" s="19" t="s">
        <v>237</v>
      </c>
      <c r="E298" s="19" t="s">
        <v>235</v>
      </c>
      <c r="F298" s="19" t="s">
        <v>66</v>
      </c>
      <c r="G298" s="19" t="s">
        <v>67</v>
      </c>
      <c r="H298" s="19" t="s">
        <v>295</v>
      </c>
      <c r="I298" s="19" t="n">
        <v>20</v>
      </c>
      <c r="J298" s="19" t="n">
        <v>40</v>
      </c>
      <c r="K298" s="19" t="s">
        <v>497</v>
      </c>
    </row>
    <row r="299" customFormat="false" ht="15" hidden="false" customHeight="true" outlineLevel="0" collapsed="false">
      <c r="B299" s="19" t="s">
        <v>587</v>
      </c>
      <c r="C299" s="19" t="s">
        <v>227</v>
      </c>
      <c r="D299" s="19" t="s">
        <v>228</v>
      </c>
      <c r="E299" s="19" t="s">
        <v>229</v>
      </c>
      <c r="F299" s="19" t="s">
        <v>58</v>
      </c>
      <c r="G299" s="19" t="s">
        <v>59</v>
      </c>
      <c r="H299" s="19" t="s">
        <v>287</v>
      </c>
      <c r="I299" s="19" t="n">
        <v>10</v>
      </c>
      <c r="J299" s="19" t="n">
        <v>40</v>
      </c>
      <c r="K299" s="19" t="s">
        <v>280</v>
      </c>
    </row>
    <row r="300" customFormat="false" ht="15" hidden="false" customHeight="true" outlineLevel="0" collapsed="false">
      <c r="B300" s="19" t="s">
        <v>588</v>
      </c>
      <c r="C300" s="19" t="s">
        <v>267</v>
      </c>
      <c r="D300" s="19" t="s">
        <v>268</v>
      </c>
      <c r="E300" s="19" t="s">
        <v>269</v>
      </c>
      <c r="F300" s="19" t="s">
        <v>42</v>
      </c>
      <c r="G300" s="19" t="s">
        <v>43</v>
      </c>
      <c r="H300" s="19" t="s">
        <v>291</v>
      </c>
      <c r="I300" s="19" t="n">
        <v>10</v>
      </c>
      <c r="J300" s="19" t="n">
        <v>24</v>
      </c>
      <c r="K300" s="19" t="s">
        <v>280</v>
      </c>
    </row>
    <row r="301" customFormat="false" ht="15" hidden="false" customHeight="true" outlineLevel="0" collapsed="false">
      <c r="B301" s="19" t="s">
        <v>589</v>
      </c>
      <c r="C301" s="19" t="s">
        <v>227</v>
      </c>
      <c r="D301" s="19" t="s">
        <v>228</v>
      </c>
      <c r="E301" s="19" t="s">
        <v>229</v>
      </c>
      <c r="F301" s="19" t="s">
        <v>42</v>
      </c>
      <c r="G301" s="19" t="s">
        <v>43</v>
      </c>
      <c r="H301" s="19" t="s">
        <v>289</v>
      </c>
      <c r="I301" s="19" t="n">
        <v>7</v>
      </c>
      <c r="J301" s="19" t="n">
        <v>40</v>
      </c>
      <c r="K301" s="19" t="s">
        <v>280</v>
      </c>
    </row>
    <row r="302" customFormat="false" ht="15" hidden="false" customHeight="true" outlineLevel="0" collapsed="false">
      <c r="B302" s="19" t="s">
        <v>590</v>
      </c>
      <c r="C302" s="19" t="s">
        <v>236</v>
      </c>
      <c r="D302" s="19" t="s">
        <v>237</v>
      </c>
      <c r="E302" s="19" t="s">
        <v>235</v>
      </c>
      <c r="F302" s="19" t="s">
        <v>66</v>
      </c>
      <c r="G302" s="19" t="s">
        <v>67</v>
      </c>
      <c r="H302" s="19" t="s">
        <v>283</v>
      </c>
      <c r="I302" s="19" t="n">
        <v>18</v>
      </c>
      <c r="J302" s="19" t="n">
        <v>40</v>
      </c>
      <c r="K302" s="19" t="s">
        <v>280</v>
      </c>
    </row>
    <row r="303" customFormat="false" ht="15" hidden="false" customHeight="true" outlineLevel="0" collapsed="false">
      <c r="B303" s="19" t="s">
        <v>591</v>
      </c>
      <c r="C303" s="19" t="s">
        <v>253</v>
      </c>
      <c r="D303" s="19" t="s">
        <v>254</v>
      </c>
      <c r="E303" s="19" t="s">
        <v>251</v>
      </c>
      <c r="F303" s="19" t="s">
        <v>62</v>
      </c>
      <c r="G303" s="19" t="s">
        <v>63</v>
      </c>
      <c r="H303" s="19" t="s">
        <v>279</v>
      </c>
      <c r="I303" s="19" t="n">
        <v>16</v>
      </c>
      <c r="J303" s="19" t="n">
        <v>32</v>
      </c>
      <c r="K303" s="19" t="s">
        <v>280</v>
      </c>
    </row>
    <row r="304" customFormat="false" ht="15" hidden="false" customHeight="true" outlineLevel="0" collapsed="false">
      <c r="B304" s="19" t="s">
        <v>592</v>
      </c>
      <c r="C304" s="19" t="s">
        <v>236</v>
      </c>
      <c r="D304" s="19" t="s">
        <v>237</v>
      </c>
      <c r="E304" s="19" t="s">
        <v>235</v>
      </c>
      <c r="F304" s="19" t="s">
        <v>42</v>
      </c>
      <c r="G304" s="19" t="s">
        <v>43</v>
      </c>
      <c r="H304" s="19" t="s">
        <v>289</v>
      </c>
      <c r="I304" s="19" t="n">
        <v>20</v>
      </c>
      <c r="J304" s="19" t="n">
        <v>40</v>
      </c>
      <c r="K304" s="19" t="s">
        <v>497</v>
      </c>
    </row>
    <row r="305" customFormat="false" ht="15" hidden="false" customHeight="true" outlineLevel="0" collapsed="false">
      <c r="B305" s="19" t="s">
        <v>593</v>
      </c>
      <c r="C305" s="19" t="s">
        <v>223</v>
      </c>
      <c r="D305" s="19" t="s">
        <v>224</v>
      </c>
      <c r="E305" s="19" t="s">
        <v>225</v>
      </c>
      <c r="F305" s="19" t="s">
        <v>58</v>
      </c>
      <c r="G305" s="19" t="s">
        <v>59</v>
      </c>
      <c r="H305" s="19" t="s">
        <v>309</v>
      </c>
      <c r="I305" s="19" t="n">
        <v>19</v>
      </c>
      <c r="J305" s="19" t="n">
        <v>40</v>
      </c>
      <c r="K305" s="19" t="s">
        <v>280</v>
      </c>
    </row>
    <row r="306" customFormat="false" ht="15" hidden="false" customHeight="true" outlineLevel="0" collapsed="false">
      <c r="B306" s="19" t="s">
        <v>594</v>
      </c>
      <c r="C306" s="19" t="s">
        <v>231</v>
      </c>
      <c r="D306" s="19" t="s">
        <v>232</v>
      </c>
      <c r="E306" s="19" t="s">
        <v>229</v>
      </c>
      <c r="F306" s="19" t="s">
        <v>66</v>
      </c>
      <c r="G306" s="19" t="s">
        <v>67</v>
      </c>
      <c r="H306" s="19" t="s">
        <v>285</v>
      </c>
      <c r="I306" s="19" t="n">
        <v>14</v>
      </c>
      <c r="J306" s="19" t="n">
        <v>40</v>
      </c>
      <c r="K306" s="19" t="s">
        <v>280</v>
      </c>
    </row>
    <row r="307" customFormat="false" ht="15" hidden="false" customHeight="true" outlineLevel="0" collapsed="false">
      <c r="B307" s="19" t="s">
        <v>595</v>
      </c>
      <c r="C307" s="19" t="s">
        <v>261</v>
      </c>
      <c r="D307" s="19" t="s">
        <v>262</v>
      </c>
      <c r="E307" s="19" t="s">
        <v>263</v>
      </c>
      <c r="F307" s="19" t="s">
        <v>62</v>
      </c>
      <c r="G307" s="19" t="s">
        <v>63</v>
      </c>
      <c r="H307" s="19" t="s">
        <v>293</v>
      </c>
      <c r="I307" s="19" t="n">
        <v>19</v>
      </c>
      <c r="J307" s="19" t="n">
        <v>40</v>
      </c>
      <c r="K307" s="19" t="s">
        <v>280</v>
      </c>
    </row>
    <row r="308" customFormat="false" ht="15" hidden="false" customHeight="true" outlineLevel="0" collapsed="false">
      <c r="B308" s="19" t="s">
        <v>596</v>
      </c>
      <c r="C308" s="19" t="s">
        <v>233</v>
      </c>
      <c r="D308" s="19" t="s">
        <v>234</v>
      </c>
      <c r="E308" s="19" t="s">
        <v>235</v>
      </c>
      <c r="F308" s="19" t="s">
        <v>58</v>
      </c>
      <c r="G308" s="19" t="s">
        <v>59</v>
      </c>
      <c r="H308" s="19" t="s">
        <v>291</v>
      </c>
      <c r="I308" s="19" t="n">
        <v>20</v>
      </c>
      <c r="J308" s="19" t="n">
        <v>40</v>
      </c>
      <c r="K308" s="19" t="s">
        <v>280</v>
      </c>
    </row>
    <row r="309" customFormat="false" ht="15" hidden="false" customHeight="true" outlineLevel="0" collapsed="false">
      <c r="B309" s="19" t="s">
        <v>597</v>
      </c>
      <c r="C309" s="19" t="s">
        <v>253</v>
      </c>
      <c r="D309" s="19" t="s">
        <v>254</v>
      </c>
      <c r="E309" s="19" t="s">
        <v>251</v>
      </c>
      <c r="F309" s="19" t="s">
        <v>58</v>
      </c>
      <c r="G309" s="19" t="s">
        <v>59</v>
      </c>
      <c r="H309" s="19" t="s">
        <v>309</v>
      </c>
      <c r="I309" s="19" t="n">
        <v>25</v>
      </c>
      <c r="J309" s="19" t="n">
        <v>32</v>
      </c>
      <c r="K309" s="19" t="s">
        <v>280</v>
      </c>
    </row>
    <row r="310" customFormat="false" ht="15" hidden="false" customHeight="true" outlineLevel="0" collapsed="false">
      <c r="B310" s="19" t="s">
        <v>598</v>
      </c>
      <c r="C310" s="19" t="s">
        <v>255</v>
      </c>
      <c r="D310" s="19" t="s">
        <v>256</v>
      </c>
      <c r="E310" s="19" t="s">
        <v>41</v>
      </c>
      <c r="F310" s="19" t="s">
        <v>42</v>
      </c>
      <c r="G310" s="19" t="s">
        <v>43</v>
      </c>
      <c r="H310" s="19" t="s">
        <v>283</v>
      </c>
      <c r="I310" s="19" t="n">
        <v>10</v>
      </c>
      <c r="J310" s="19" t="n">
        <v>40</v>
      </c>
      <c r="K310" s="19" t="s">
        <v>280</v>
      </c>
    </row>
    <row r="311" customFormat="false" ht="15" hidden="false" customHeight="true" outlineLevel="0" collapsed="false">
      <c r="B311" s="19" t="s">
        <v>599</v>
      </c>
      <c r="C311" s="19" t="s">
        <v>223</v>
      </c>
      <c r="D311" s="19" t="s">
        <v>224</v>
      </c>
      <c r="E311" s="19" t="s">
        <v>225</v>
      </c>
      <c r="F311" s="19" t="s">
        <v>48</v>
      </c>
      <c r="G311" s="19" t="s">
        <v>49</v>
      </c>
      <c r="H311" s="19" t="s">
        <v>295</v>
      </c>
      <c r="I311" s="19" t="n">
        <v>16</v>
      </c>
      <c r="J311" s="19" t="n">
        <v>40</v>
      </c>
      <c r="K311" s="19" t="s">
        <v>280</v>
      </c>
    </row>
    <row r="312" customFormat="false" ht="15" hidden="false" customHeight="true" outlineLevel="0" collapsed="false">
      <c r="B312" s="19" t="s">
        <v>600</v>
      </c>
      <c r="C312" s="19" t="s">
        <v>264</v>
      </c>
      <c r="D312" s="19" t="s">
        <v>265</v>
      </c>
      <c r="E312" s="19" t="s">
        <v>266</v>
      </c>
      <c r="F312" s="19" t="s">
        <v>53</v>
      </c>
      <c r="G312" s="19" t="s">
        <v>54</v>
      </c>
      <c r="H312" s="19" t="s">
        <v>309</v>
      </c>
      <c r="I312" s="19" t="n">
        <v>20</v>
      </c>
      <c r="J312" s="19" t="n">
        <v>40</v>
      </c>
      <c r="K312" s="19" t="s">
        <v>280</v>
      </c>
    </row>
    <row r="313" customFormat="false" ht="15" hidden="false" customHeight="true" outlineLevel="0" collapsed="false">
      <c r="B313" s="19" t="s">
        <v>601</v>
      </c>
      <c r="C313" s="19" t="s">
        <v>231</v>
      </c>
      <c r="D313" s="19" t="s">
        <v>232</v>
      </c>
      <c r="E313" s="19" t="s">
        <v>229</v>
      </c>
      <c r="F313" s="19" t="s">
        <v>66</v>
      </c>
      <c r="G313" s="19" t="s">
        <v>67</v>
      </c>
      <c r="H313" s="19" t="s">
        <v>331</v>
      </c>
      <c r="I313" s="19" t="n">
        <v>18</v>
      </c>
      <c r="J313" s="19" t="n">
        <v>40</v>
      </c>
      <c r="K313" s="19" t="s">
        <v>280</v>
      </c>
    </row>
    <row r="314" customFormat="false" ht="15" hidden="false" customHeight="true" outlineLevel="0" collapsed="false">
      <c r="B314" s="19" t="s">
        <v>602</v>
      </c>
      <c r="C314" s="19" t="s">
        <v>249</v>
      </c>
      <c r="D314" s="19" t="s">
        <v>250</v>
      </c>
      <c r="E314" s="19" t="s">
        <v>251</v>
      </c>
      <c r="F314" s="19" t="s">
        <v>48</v>
      </c>
      <c r="G314" s="19" t="s">
        <v>49</v>
      </c>
      <c r="H314" s="19" t="s">
        <v>295</v>
      </c>
      <c r="I314" s="19" t="n">
        <v>11</v>
      </c>
      <c r="J314" s="19" t="n">
        <v>40</v>
      </c>
      <c r="K314" s="19" t="s">
        <v>280</v>
      </c>
    </row>
    <row r="315" customFormat="false" ht="15" hidden="false" customHeight="true" outlineLevel="0" collapsed="false">
      <c r="B315" s="19" t="s">
        <v>603</v>
      </c>
      <c r="C315" s="19" t="s">
        <v>236</v>
      </c>
      <c r="D315" s="19" t="s">
        <v>237</v>
      </c>
      <c r="E315" s="19" t="s">
        <v>235</v>
      </c>
      <c r="F315" s="19" t="s">
        <v>58</v>
      </c>
      <c r="G315" s="19" t="s">
        <v>59</v>
      </c>
      <c r="H315" s="19" t="s">
        <v>295</v>
      </c>
      <c r="I315" s="19" t="n">
        <v>17</v>
      </c>
      <c r="J315" s="19" t="n">
        <v>40</v>
      </c>
      <c r="K315" s="19" t="s">
        <v>280</v>
      </c>
    </row>
    <row r="316" customFormat="false" ht="15" hidden="false" customHeight="true" outlineLevel="0" collapsed="false">
      <c r="B316" s="19" t="s">
        <v>604</v>
      </c>
      <c r="C316" s="19" t="s">
        <v>261</v>
      </c>
      <c r="D316" s="19" t="s">
        <v>262</v>
      </c>
      <c r="E316" s="19" t="s">
        <v>263</v>
      </c>
      <c r="F316" s="19" t="s">
        <v>42</v>
      </c>
      <c r="G316" s="19" t="s">
        <v>43</v>
      </c>
      <c r="H316" s="19" t="s">
        <v>309</v>
      </c>
      <c r="I316" s="19" t="n">
        <v>11</v>
      </c>
      <c r="J316" s="19" t="n">
        <v>40</v>
      </c>
      <c r="K316" s="19" t="s">
        <v>280</v>
      </c>
    </row>
    <row r="317" customFormat="false" ht="15" hidden="false" customHeight="true" outlineLevel="0" collapsed="false">
      <c r="B317" s="19" t="s">
        <v>605</v>
      </c>
      <c r="C317" s="19" t="s">
        <v>231</v>
      </c>
      <c r="D317" s="19" t="s">
        <v>232</v>
      </c>
      <c r="E317" s="19" t="s">
        <v>229</v>
      </c>
      <c r="F317" s="19" t="s">
        <v>62</v>
      </c>
      <c r="G317" s="19" t="s">
        <v>63</v>
      </c>
      <c r="H317" s="19" t="s">
        <v>279</v>
      </c>
      <c r="I317" s="19" t="n">
        <v>12</v>
      </c>
      <c r="J317" s="19" t="n">
        <v>40</v>
      </c>
      <c r="K317" s="19" t="s">
        <v>280</v>
      </c>
    </row>
    <row r="318" customFormat="false" ht="15" hidden="false" customHeight="true" outlineLevel="0" collapsed="false">
      <c r="B318" s="19" t="s">
        <v>606</v>
      </c>
      <c r="C318" s="19" t="s">
        <v>242</v>
      </c>
      <c r="D318" s="19" t="s">
        <v>243</v>
      </c>
      <c r="E318" s="19" t="s">
        <v>244</v>
      </c>
      <c r="F318" s="19" t="s">
        <v>66</v>
      </c>
      <c r="G318" s="19" t="s">
        <v>67</v>
      </c>
      <c r="H318" s="19" t="s">
        <v>309</v>
      </c>
      <c r="I318" s="19" t="n">
        <v>15</v>
      </c>
      <c r="J318" s="19" t="n">
        <v>40</v>
      </c>
      <c r="K318" s="19" t="s">
        <v>280</v>
      </c>
    </row>
    <row r="319" customFormat="false" ht="15" hidden="false" customHeight="true" outlineLevel="0" collapsed="false">
      <c r="B319" s="19" t="s">
        <v>607</v>
      </c>
      <c r="C319" s="19" t="s">
        <v>249</v>
      </c>
      <c r="D319" s="19" t="s">
        <v>250</v>
      </c>
      <c r="E319" s="19" t="s">
        <v>251</v>
      </c>
      <c r="F319" s="19" t="s">
        <v>62</v>
      </c>
      <c r="G319" s="19" t="s">
        <v>63</v>
      </c>
      <c r="H319" s="19" t="s">
        <v>293</v>
      </c>
      <c r="I319" s="19" t="n">
        <v>19</v>
      </c>
      <c r="J319" s="19" t="n">
        <v>40</v>
      </c>
      <c r="K319" s="19" t="s">
        <v>280</v>
      </c>
    </row>
    <row r="320" customFormat="false" ht="15" hidden="false" customHeight="true" outlineLevel="0" collapsed="false">
      <c r="B320" s="19" t="s">
        <v>608</v>
      </c>
      <c r="C320" s="19" t="s">
        <v>223</v>
      </c>
      <c r="D320" s="19" t="s">
        <v>224</v>
      </c>
      <c r="E320" s="19" t="s">
        <v>225</v>
      </c>
      <c r="F320" s="19" t="s">
        <v>66</v>
      </c>
      <c r="G320" s="19" t="s">
        <v>67</v>
      </c>
      <c r="H320" s="19" t="s">
        <v>309</v>
      </c>
      <c r="I320" s="19" t="n">
        <v>14</v>
      </c>
      <c r="J320" s="19" t="n">
        <v>40</v>
      </c>
      <c r="K320" s="19" t="s">
        <v>280</v>
      </c>
    </row>
    <row r="321" customFormat="false" ht="15" hidden="false" customHeight="true" outlineLevel="0" collapsed="false">
      <c r="B321" s="19" t="s">
        <v>609</v>
      </c>
      <c r="C321" s="19" t="s">
        <v>245</v>
      </c>
      <c r="D321" s="19" t="s">
        <v>246</v>
      </c>
      <c r="E321" s="19" t="s">
        <v>247</v>
      </c>
      <c r="F321" s="19" t="s">
        <v>58</v>
      </c>
      <c r="G321" s="19" t="s">
        <v>59</v>
      </c>
      <c r="H321" s="19" t="s">
        <v>331</v>
      </c>
      <c r="I321" s="19" t="n">
        <v>13</v>
      </c>
      <c r="J321" s="19" t="n">
        <v>40</v>
      </c>
      <c r="K321" s="19" t="s">
        <v>280</v>
      </c>
    </row>
    <row r="322" customFormat="false" ht="15" hidden="false" customHeight="true" outlineLevel="0" collapsed="false">
      <c r="B322" s="19" t="s">
        <v>610</v>
      </c>
      <c r="C322" s="19" t="s">
        <v>249</v>
      </c>
      <c r="D322" s="19" t="s">
        <v>250</v>
      </c>
      <c r="E322" s="19" t="s">
        <v>251</v>
      </c>
      <c r="F322" s="19" t="s">
        <v>66</v>
      </c>
      <c r="G322" s="19" t="s">
        <v>67</v>
      </c>
      <c r="H322" s="19" t="s">
        <v>287</v>
      </c>
      <c r="I322" s="19" t="n">
        <v>15</v>
      </c>
      <c r="J322" s="19" t="n">
        <v>40</v>
      </c>
      <c r="K322" s="19" t="s">
        <v>280</v>
      </c>
    </row>
    <row r="323" customFormat="false" ht="15" hidden="false" customHeight="true" outlineLevel="0" collapsed="false">
      <c r="B323" s="19" t="s">
        <v>611</v>
      </c>
      <c r="C323" s="19" t="s">
        <v>255</v>
      </c>
      <c r="D323" s="19" t="s">
        <v>256</v>
      </c>
      <c r="E323" s="19" t="s">
        <v>41</v>
      </c>
      <c r="F323" s="19" t="s">
        <v>42</v>
      </c>
      <c r="G323" s="19" t="s">
        <v>43</v>
      </c>
      <c r="H323" s="19" t="s">
        <v>279</v>
      </c>
      <c r="I323" s="19" t="n">
        <v>12</v>
      </c>
      <c r="J323" s="19" t="n">
        <v>40</v>
      </c>
      <c r="K323" s="19" t="s">
        <v>280</v>
      </c>
    </row>
    <row r="324" customFormat="false" ht="15" hidden="false" customHeight="true" outlineLevel="0" collapsed="false">
      <c r="B324" s="19" t="s">
        <v>612</v>
      </c>
      <c r="C324" s="19" t="s">
        <v>227</v>
      </c>
      <c r="D324" s="19" t="s">
        <v>228</v>
      </c>
      <c r="E324" s="19" t="s">
        <v>229</v>
      </c>
      <c r="F324" s="19" t="s">
        <v>53</v>
      </c>
      <c r="G324" s="19" t="s">
        <v>54</v>
      </c>
      <c r="H324" s="19" t="s">
        <v>309</v>
      </c>
      <c r="I324" s="19" t="n">
        <v>24</v>
      </c>
      <c r="J324" s="19" t="n">
        <v>40</v>
      </c>
      <c r="K324" s="19" t="s">
        <v>280</v>
      </c>
    </row>
    <row r="325" customFormat="false" ht="15" hidden="false" customHeight="true" outlineLevel="0" collapsed="false">
      <c r="B325" s="19" t="s">
        <v>613</v>
      </c>
      <c r="C325" s="19" t="s">
        <v>264</v>
      </c>
      <c r="D325" s="19" t="s">
        <v>265</v>
      </c>
      <c r="E325" s="19" t="s">
        <v>266</v>
      </c>
      <c r="F325" s="19" t="s">
        <v>66</v>
      </c>
      <c r="G325" s="19" t="s">
        <v>67</v>
      </c>
      <c r="H325" s="19" t="s">
        <v>300</v>
      </c>
      <c r="I325" s="19" t="n">
        <v>31</v>
      </c>
      <c r="J325" s="19" t="n">
        <v>40</v>
      </c>
      <c r="K325" s="19" t="s">
        <v>280</v>
      </c>
    </row>
    <row r="326" customFormat="false" ht="15" hidden="false" customHeight="true" outlineLevel="0" collapsed="false">
      <c r="B326" s="19" t="s">
        <v>614</v>
      </c>
      <c r="C326" s="19" t="s">
        <v>242</v>
      </c>
      <c r="D326" s="19" t="s">
        <v>243</v>
      </c>
      <c r="E326" s="19" t="s">
        <v>244</v>
      </c>
      <c r="F326" s="19" t="s">
        <v>58</v>
      </c>
      <c r="G326" s="19" t="s">
        <v>59</v>
      </c>
      <c r="H326" s="19" t="s">
        <v>309</v>
      </c>
      <c r="I326" s="19" t="n">
        <v>17</v>
      </c>
      <c r="J326" s="19" t="n">
        <v>40</v>
      </c>
      <c r="K326" s="19" t="s">
        <v>280</v>
      </c>
    </row>
    <row r="327" customFormat="false" ht="15" hidden="false" customHeight="true" outlineLevel="0" collapsed="false">
      <c r="B327" s="19" t="s">
        <v>615</v>
      </c>
      <c r="C327" s="19" t="s">
        <v>227</v>
      </c>
      <c r="D327" s="19" t="s">
        <v>228</v>
      </c>
      <c r="E327" s="19" t="s">
        <v>229</v>
      </c>
      <c r="F327" s="19" t="s">
        <v>53</v>
      </c>
      <c r="G327" s="19" t="s">
        <v>54</v>
      </c>
      <c r="H327" s="19" t="s">
        <v>295</v>
      </c>
      <c r="I327" s="19" t="n">
        <v>11</v>
      </c>
      <c r="J327" s="19" t="n">
        <v>40</v>
      </c>
      <c r="K327" s="19" t="s">
        <v>280</v>
      </c>
    </row>
    <row r="328" customFormat="false" ht="15" hidden="false" customHeight="true" outlineLevel="0" collapsed="false">
      <c r="B328" s="19" t="s">
        <v>616</v>
      </c>
      <c r="C328" s="19" t="s">
        <v>255</v>
      </c>
      <c r="D328" s="19" t="s">
        <v>256</v>
      </c>
      <c r="E328" s="19" t="s">
        <v>41</v>
      </c>
      <c r="F328" s="19" t="s">
        <v>53</v>
      </c>
      <c r="G328" s="19" t="s">
        <v>54</v>
      </c>
      <c r="H328" s="19" t="s">
        <v>312</v>
      </c>
      <c r="I328" s="19" t="n">
        <v>13</v>
      </c>
      <c r="J328" s="19" t="n">
        <v>40</v>
      </c>
      <c r="K328" s="19" t="s">
        <v>280</v>
      </c>
    </row>
    <row r="329" customFormat="false" ht="15" hidden="false" customHeight="true" outlineLevel="0" collapsed="false">
      <c r="B329" s="19" t="s">
        <v>617</v>
      </c>
      <c r="C329" s="19" t="s">
        <v>264</v>
      </c>
      <c r="D329" s="19" t="s">
        <v>265</v>
      </c>
      <c r="E329" s="19" t="s">
        <v>266</v>
      </c>
      <c r="F329" s="19" t="s">
        <v>53</v>
      </c>
      <c r="G329" s="19" t="s">
        <v>54</v>
      </c>
      <c r="H329" s="19" t="s">
        <v>283</v>
      </c>
      <c r="I329" s="19" t="n">
        <v>37</v>
      </c>
      <c r="J329" s="19" t="n">
        <v>40</v>
      </c>
      <c r="K329" s="19" t="s">
        <v>280</v>
      </c>
    </row>
    <row r="330" customFormat="false" ht="15" hidden="false" customHeight="true" outlineLevel="0" collapsed="false">
      <c r="B330" s="19" t="s">
        <v>618</v>
      </c>
      <c r="C330" s="19" t="s">
        <v>223</v>
      </c>
      <c r="D330" s="19" t="s">
        <v>224</v>
      </c>
      <c r="E330" s="19" t="s">
        <v>225</v>
      </c>
      <c r="F330" s="19" t="s">
        <v>48</v>
      </c>
      <c r="G330" s="19" t="s">
        <v>49</v>
      </c>
      <c r="H330" s="19" t="s">
        <v>291</v>
      </c>
      <c r="I330" s="19" t="n">
        <v>11</v>
      </c>
      <c r="J330" s="19" t="n">
        <v>40</v>
      </c>
      <c r="K330" s="19" t="s">
        <v>280</v>
      </c>
    </row>
    <row r="331" customFormat="false" ht="15" hidden="false" customHeight="true" outlineLevel="0" collapsed="false">
      <c r="B331" s="19" t="s">
        <v>619</v>
      </c>
      <c r="C331" s="19" t="s">
        <v>267</v>
      </c>
      <c r="D331" s="19" t="s">
        <v>268</v>
      </c>
      <c r="E331" s="19" t="s">
        <v>269</v>
      </c>
      <c r="F331" s="19" t="s">
        <v>58</v>
      </c>
      <c r="G331" s="19" t="s">
        <v>59</v>
      </c>
      <c r="H331" s="19" t="s">
        <v>279</v>
      </c>
      <c r="I331" s="19" t="n">
        <v>13</v>
      </c>
      <c r="J331" s="19" t="n">
        <v>24</v>
      </c>
      <c r="K331" s="19" t="s">
        <v>280</v>
      </c>
    </row>
    <row r="332" customFormat="false" ht="15" hidden="false" customHeight="true" outlineLevel="0" collapsed="false">
      <c r="B332" s="19" t="s">
        <v>620</v>
      </c>
      <c r="C332" s="19" t="s">
        <v>245</v>
      </c>
      <c r="D332" s="19" t="s">
        <v>246</v>
      </c>
      <c r="E332" s="19" t="s">
        <v>247</v>
      </c>
      <c r="F332" s="19" t="s">
        <v>62</v>
      </c>
      <c r="G332" s="19" t="s">
        <v>63</v>
      </c>
      <c r="H332" s="19" t="s">
        <v>295</v>
      </c>
      <c r="I332" s="19" t="n">
        <v>18</v>
      </c>
      <c r="J332" s="19" t="n">
        <v>40</v>
      </c>
      <c r="K332" s="19" t="s">
        <v>280</v>
      </c>
    </row>
    <row r="333" customFormat="false" ht="15" hidden="false" customHeight="true" outlineLevel="0" collapsed="false">
      <c r="B333" s="19" t="s">
        <v>621</v>
      </c>
      <c r="C333" s="19" t="s">
        <v>264</v>
      </c>
      <c r="D333" s="19" t="s">
        <v>265</v>
      </c>
      <c r="E333" s="19" t="s">
        <v>266</v>
      </c>
      <c r="F333" s="19" t="s">
        <v>66</v>
      </c>
      <c r="G333" s="19" t="s">
        <v>67</v>
      </c>
      <c r="H333" s="19" t="s">
        <v>293</v>
      </c>
      <c r="I333" s="19" t="n">
        <v>12</v>
      </c>
      <c r="J333" s="19" t="n">
        <v>40</v>
      </c>
      <c r="K333" s="19" t="s">
        <v>280</v>
      </c>
    </row>
    <row r="334" customFormat="false" ht="15" hidden="false" customHeight="true" outlineLevel="0" collapsed="false">
      <c r="B334" s="19" t="s">
        <v>622</v>
      </c>
      <c r="C334" s="19" t="s">
        <v>236</v>
      </c>
      <c r="D334" s="19" t="s">
        <v>237</v>
      </c>
      <c r="E334" s="19" t="s">
        <v>235</v>
      </c>
      <c r="F334" s="19" t="s">
        <v>66</v>
      </c>
      <c r="G334" s="19" t="s">
        <v>67</v>
      </c>
      <c r="H334" s="19" t="s">
        <v>312</v>
      </c>
      <c r="I334" s="19" t="n">
        <v>16</v>
      </c>
      <c r="J334" s="19" t="n">
        <v>40</v>
      </c>
      <c r="K334" s="19" t="s">
        <v>280</v>
      </c>
    </row>
    <row r="335" customFormat="false" ht="15" hidden="false" customHeight="true" outlineLevel="0" collapsed="false">
      <c r="B335" s="19" t="s">
        <v>623</v>
      </c>
      <c r="C335" s="19" t="s">
        <v>267</v>
      </c>
      <c r="D335" s="19" t="s">
        <v>268</v>
      </c>
      <c r="E335" s="19" t="s">
        <v>269</v>
      </c>
      <c r="F335" s="19" t="s">
        <v>48</v>
      </c>
      <c r="G335" s="19" t="s">
        <v>49</v>
      </c>
      <c r="H335" s="19" t="s">
        <v>295</v>
      </c>
      <c r="I335" s="19" t="n">
        <v>20</v>
      </c>
      <c r="J335" s="19" t="n">
        <v>24</v>
      </c>
      <c r="K335" s="19" t="s">
        <v>280</v>
      </c>
    </row>
    <row r="336" customFormat="false" ht="15" hidden="false" customHeight="true" outlineLevel="0" collapsed="false">
      <c r="B336" s="19" t="s">
        <v>624</v>
      </c>
      <c r="C336" s="19" t="s">
        <v>261</v>
      </c>
      <c r="D336" s="19" t="s">
        <v>262</v>
      </c>
      <c r="E336" s="19" t="s">
        <v>263</v>
      </c>
      <c r="F336" s="19" t="s">
        <v>42</v>
      </c>
      <c r="G336" s="19" t="s">
        <v>43</v>
      </c>
      <c r="H336" s="19" t="s">
        <v>291</v>
      </c>
      <c r="I336" s="19" t="n">
        <v>14</v>
      </c>
      <c r="J336" s="19" t="n">
        <v>40</v>
      </c>
      <c r="K336" s="19" t="s">
        <v>280</v>
      </c>
    </row>
    <row r="337" customFormat="false" ht="15" hidden="false" customHeight="true" outlineLevel="0" collapsed="false">
      <c r="B337" s="19" t="s">
        <v>625</v>
      </c>
      <c r="C337" s="19" t="s">
        <v>236</v>
      </c>
      <c r="D337" s="19" t="s">
        <v>237</v>
      </c>
      <c r="E337" s="19" t="s">
        <v>235</v>
      </c>
      <c r="F337" s="19" t="s">
        <v>48</v>
      </c>
      <c r="G337" s="19" t="s">
        <v>49</v>
      </c>
      <c r="H337" s="19" t="s">
        <v>279</v>
      </c>
      <c r="I337" s="19" t="n">
        <v>19</v>
      </c>
      <c r="J337" s="19" t="n">
        <v>40</v>
      </c>
      <c r="K337" s="19" t="s">
        <v>280</v>
      </c>
    </row>
    <row r="338" customFormat="false" ht="15" hidden="false" customHeight="true" outlineLevel="0" collapsed="false">
      <c r="B338" s="19" t="s">
        <v>626</v>
      </c>
      <c r="C338" s="19" t="s">
        <v>258</v>
      </c>
      <c r="D338" s="19" t="s">
        <v>259</v>
      </c>
      <c r="E338" s="19" t="s">
        <v>260</v>
      </c>
      <c r="F338" s="19" t="s">
        <v>62</v>
      </c>
      <c r="G338" s="19" t="s">
        <v>63</v>
      </c>
      <c r="H338" s="19" t="s">
        <v>312</v>
      </c>
      <c r="I338" s="19" t="n">
        <v>19</v>
      </c>
      <c r="J338" s="19" t="n">
        <v>40</v>
      </c>
      <c r="K338" s="19" t="s">
        <v>280</v>
      </c>
    </row>
    <row r="339" customFormat="false" ht="15" hidden="false" customHeight="true" outlineLevel="0" collapsed="false">
      <c r="B339" s="19" t="s">
        <v>627</v>
      </c>
      <c r="C339" s="19" t="s">
        <v>227</v>
      </c>
      <c r="D339" s="19" t="s">
        <v>228</v>
      </c>
      <c r="E339" s="19" t="s">
        <v>229</v>
      </c>
      <c r="F339" s="19" t="s">
        <v>62</v>
      </c>
      <c r="G339" s="19" t="s">
        <v>63</v>
      </c>
      <c r="H339" s="19" t="s">
        <v>287</v>
      </c>
      <c r="I339" s="19" t="n">
        <v>11</v>
      </c>
      <c r="J339" s="19" t="n">
        <v>40</v>
      </c>
      <c r="K339" s="19" t="s">
        <v>280</v>
      </c>
    </row>
    <row r="340" customFormat="false" ht="15" hidden="false" customHeight="true" outlineLevel="0" collapsed="false">
      <c r="B340" s="19" t="s">
        <v>628</v>
      </c>
      <c r="C340" s="19" t="s">
        <v>255</v>
      </c>
      <c r="D340" s="19" t="s">
        <v>256</v>
      </c>
      <c r="E340" s="19" t="s">
        <v>41</v>
      </c>
      <c r="F340" s="19" t="s">
        <v>58</v>
      </c>
      <c r="G340" s="19" t="s">
        <v>59</v>
      </c>
      <c r="H340" s="19" t="s">
        <v>285</v>
      </c>
      <c r="I340" s="19" t="n">
        <v>17</v>
      </c>
      <c r="J340" s="19" t="n">
        <v>40</v>
      </c>
      <c r="K340" s="19" t="s">
        <v>280</v>
      </c>
    </row>
    <row r="341" customFormat="false" ht="15" hidden="false" customHeight="true" outlineLevel="0" collapsed="false">
      <c r="B341" s="19" t="s">
        <v>629</v>
      </c>
      <c r="C341" s="19" t="s">
        <v>223</v>
      </c>
      <c r="D341" s="19" t="s">
        <v>224</v>
      </c>
      <c r="E341" s="19" t="s">
        <v>225</v>
      </c>
      <c r="F341" s="19" t="s">
        <v>48</v>
      </c>
      <c r="G341" s="19" t="s">
        <v>49</v>
      </c>
      <c r="H341" s="19" t="s">
        <v>283</v>
      </c>
      <c r="I341" s="19" t="n">
        <v>38</v>
      </c>
      <c r="J341" s="19" t="n">
        <v>40</v>
      </c>
      <c r="K341" s="19" t="s">
        <v>280</v>
      </c>
    </row>
    <row r="342" customFormat="false" ht="15" hidden="false" customHeight="true" outlineLevel="0" collapsed="false">
      <c r="B342" s="19" t="s">
        <v>630</v>
      </c>
      <c r="C342" s="19" t="s">
        <v>231</v>
      </c>
      <c r="D342" s="19" t="s">
        <v>232</v>
      </c>
      <c r="E342" s="19" t="s">
        <v>229</v>
      </c>
      <c r="F342" s="19" t="s">
        <v>66</v>
      </c>
      <c r="G342" s="19" t="s">
        <v>67</v>
      </c>
      <c r="H342" s="19" t="s">
        <v>291</v>
      </c>
      <c r="I342" s="19" t="n">
        <v>14</v>
      </c>
      <c r="J342" s="19" t="n">
        <v>40</v>
      </c>
      <c r="K342" s="19" t="s">
        <v>280</v>
      </c>
    </row>
    <row r="343" customFormat="false" ht="15" hidden="false" customHeight="true" outlineLevel="0" collapsed="false">
      <c r="B343" s="19" t="s">
        <v>631</v>
      </c>
      <c r="C343" s="19" t="s">
        <v>261</v>
      </c>
      <c r="D343" s="19" t="s">
        <v>262</v>
      </c>
      <c r="E343" s="19" t="s">
        <v>263</v>
      </c>
      <c r="F343" s="19" t="s">
        <v>66</v>
      </c>
      <c r="G343" s="19" t="s">
        <v>67</v>
      </c>
      <c r="H343" s="19" t="s">
        <v>283</v>
      </c>
      <c r="I343" s="19" t="n">
        <v>35</v>
      </c>
      <c r="J343" s="19" t="n">
        <v>40</v>
      </c>
      <c r="K343" s="19" t="s">
        <v>280</v>
      </c>
    </row>
    <row r="344" customFormat="false" ht="15" hidden="false" customHeight="true" outlineLevel="0" collapsed="false">
      <c r="B344" s="19" t="s">
        <v>632</v>
      </c>
      <c r="C344" s="19" t="s">
        <v>231</v>
      </c>
      <c r="D344" s="19" t="s">
        <v>232</v>
      </c>
      <c r="E344" s="19" t="s">
        <v>229</v>
      </c>
      <c r="F344" s="19" t="s">
        <v>48</v>
      </c>
      <c r="G344" s="19" t="s">
        <v>49</v>
      </c>
      <c r="H344" s="19" t="s">
        <v>300</v>
      </c>
      <c r="I344" s="19" t="n">
        <v>11</v>
      </c>
      <c r="J344" s="19" t="n">
        <v>40</v>
      </c>
      <c r="K344" s="19" t="s">
        <v>280</v>
      </c>
    </row>
    <row r="345" customFormat="false" ht="15" hidden="false" customHeight="true" outlineLevel="0" collapsed="false">
      <c r="B345" s="19" t="s">
        <v>633</v>
      </c>
      <c r="C345" s="19" t="s">
        <v>223</v>
      </c>
      <c r="D345" s="19" t="s">
        <v>224</v>
      </c>
      <c r="E345" s="19" t="s">
        <v>225</v>
      </c>
      <c r="F345" s="19" t="s">
        <v>48</v>
      </c>
      <c r="G345" s="19" t="s">
        <v>49</v>
      </c>
      <c r="H345" s="19" t="s">
        <v>285</v>
      </c>
      <c r="I345" s="19" t="n">
        <v>11</v>
      </c>
      <c r="J345" s="19" t="n">
        <v>40</v>
      </c>
      <c r="K345" s="19" t="s">
        <v>280</v>
      </c>
    </row>
    <row r="346" customFormat="false" ht="15" hidden="false" customHeight="true" outlineLevel="0" collapsed="false">
      <c r="B346" s="19" t="s">
        <v>634</v>
      </c>
      <c r="C346" s="19" t="s">
        <v>223</v>
      </c>
      <c r="D346" s="19" t="s">
        <v>224</v>
      </c>
      <c r="E346" s="19" t="s">
        <v>225</v>
      </c>
      <c r="F346" s="19" t="s">
        <v>48</v>
      </c>
      <c r="G346" s="19" t="s">
        <v>49</v>
      </c>
      <c r="H346" s="19" t="s">
        <v>279</v>
      </c>
      <c r="I346" s="19" t="n">
        <v>16</v>
      </c>
      <c r="J346" s="19" t="n">
        <v>40</v>
      </c>
      <c r="K346" s="19" t="s">
        <v>280</v>
      </c>
    </row>
    <row r="347" customFormat="false" ht="15" hidden="false" customHeight="true" outlineLevel="0" collapsed="false">
      <c r="B347" s="19" t="s">
        <v>635</v>
      </c>
      <c r="C347" s="19" t="s">
        <v>242</v>
      </c>
      <c r="D347" s="19" t="s">
        <v>243</v>
      </c>
      <c r="E347" s="19" t="s">
        <v>244</v>
      </c>
      <c r="F347" s="19" t="s">
        <v>66</v>
      </c>
      <c r="G347" s="19" t="s">
        <v>67</v>
      </c>
      <c r="H347" s="19" t="s">
        <v>293</v>
      </c>
      <c r="I347" s="19" t="n">
        <v>37</v>
      </c>
      <c r="J347" s="19" t="n">
        <v>40</v>
      </c>
      <c r="K347" s="19" t="s">
        <v>280</v>
      </c>
    </row>
    <row r="348" customFormat="false" ht="15" hidden="false" customHeight="true" outlineLevel="0" collapsed="false">
      <c r="B348" s="19" t="s">
        <v>636</v>
      </c>
      <c r="C348" s="19" t="s">
        <v>245</v>
      </c>
      <c r="D348" s="19" t="s">
        <v>246</v>
      </c>
      <c r="E348" s="19" t="s">
        <v>247</v>
      </c>
      <c r="F348" s="19" t="s">
        <v>53</v>
      </c>
      <c r="G348" s="19" t="s">
        <v>54</v>
      </c>
      <c r="H348" s="19" t="s">
        <v>279</v>
      </c>
      <c r="I348" s="19" t="n">
        <v>12</v>
      </c>
      <c r="J348" s="19" t="n">
        <v>40</v>
      </c>
      <c r="K348" s="19" t="s">
        <v>280</v>
      </c>
    </row>
    <row r="349" customFormat="false" ht="15" hidden="false" customHeight="true" outlineLevel="0" collapsed="false">
      <c r="B349" s="19" t="s">
        <v>637</v>
      </c>
      <c r="C349" s="19" t="s">
        <v>238</v>
      </c>
      <c r="D349" s="19" t="s">
        <v>239</v>
      </c>
      <c r="E349" s="19" t="s">
        <v>240</v>
      </c>
      <c r="F349" s="19" t="s">
        <v>62</v>
      </c>
      <c r="G349" s="19" t="s">
        <v>63</v>
      </c>
      <c r="H349" s="19" t="s">
        <v>291</v>
      </c>
      <c r="I349" s="19" t="n">
        <v>32</v>
      </c>
      <c r="J349" s="19" t="n">
        <v>40</v>
      </c>
      <c r="K349" s="19" t="s">
        <v>280</v>
      </c>
    </row>
    <row r="350" customFormat="false" ht="15" hidden="false" customHeight="true" outlineLevel="0" collapsed="false">
      <c r="B350" s="19" t="s">
        <v>638</v>
      </c>
      <c r="C350" s="19" t="s">
        <v>264</v>
      </c>
      <c r="D350" s="19" t="s">
        <v>265</v>
      </c>
      <c r="E350" s="19" t="s">
        <v>266</v>
      </c>
      <c r="F350" s="19" t="s">
        <v>58</v>
      </c>
      <c r="G350" s="19" t="s">
        <v>59</v>
      </c>
      <c r="H350" s="19" t="s">
        <v>331</v>
      </c>
      <c r="I350" s="19" t="n">
        <v>16</v>
      </c>
      <c r="J350" s="19" t="n">
        <v>40</v>
      </c>
      <c r="K350" s="19" t="s">
        <v>280</v>
      </c>
    </row>
    <row r="351" customFormat="false" ht="15" hidden="false" customHeight="true" outlineLevel="0" collapsed="false">
      <c r="B351" s="19" t="s">
        <v>639</v>
      </c>
      <c r="C351" s="19" t="s">
        <v>255</v>
      </c>
      <c r="D351" s="19" t="s">
        <v>256</v>
      </c>
      <c r="E351" s="19" t="s">
        <v>41</v>
      </c>
      <c r="F351" s="19" t="s">
        <v>62</v>
      </c>
      <c r="G351" s="19" t="s">
        <v>63</v>
      </c>
      <c r="H351" s="19" t="s">
        <v>295</v>
      </c>
      <c r="I351" s="19" t="n">
        <v>9</v>
      </c>
      <c r="J351" s="19" t="n">
        <v>40</v>
      </c>
      <c r="K351" s="19" t="s">
        <v>280</v>
      </c>
    </row>
    <row r="352" customFormat="false" ht="15" hidden="false" customHeight="true" outlineLevel="0" collapsed="false">
      <c r="B352" s="19" t="s">
        <v>640</v>
      </c>
      <c r="C352" s="19" t="s">
        <v>258</v>
      </c>
      <c r="D352" s="19" t="s">
        <v>259</v>
      </c>
      <c r="E352" s="19" t="s">
        <v>260</v>
      </c>
      <c r="F352" s="19" t="s">
        <v>66</v>
      </c>
      <c r="G352" s="19" t="s">
        <v>67</v>
      </c>
      <c r="H352" s="19" t="s">
        <v>293</v>
      </c>
      <c r="I352" s="19" t="n">
        <v>11</v>
      </c>
      <c r="J352" s="19" t="n">
        <v>40</v>
      </c>
      <c r="K352" s="19" t="s">
        <v>280</v>
      </c>
    </row>
    <row r="353" customFormat="false" ht="15" hidden="false" customHeight="true" outlineLevel="0" collapsed="false">
      <c r="B353" s="19" t="s">
        <v>641</v>
      </c>
      <c r="C353" s="19" t="s">
        <v>227</v>
      </c>
      <c r="D353" s="19" t="s">
        <v>228</v>
      </c>
      <c r="E353" s="19" t="s">
        <v>229</v>
      </c>
      <c r="F353" s="19" t="s">
        <v>53</v>
      </c>
      <c r="G353" s="19" t="s">
        <v>54</v>
      </c>
      <c r="H353" s="19" t="s">
        <v>279</v>
      </c>
      <c r="I353" s="19" t="n">
        <v>20</v>
      </c>
      <c r="J353" s="19" t="n">
        <v>40</v>
      </c>
      <c r="K353" s="19" t="s">
        <v>280</v>
      </c>
    </row>
    <row r="354" customFormat="false" ht="15" hidden="false" customHeight="true" outlineLevel="0" collapsed="false">
      <c r="B354" s="19" t="s">
        <v>642</v>
      </c>
      <c r="C354" s="19" t="s">
        <v>227</v>
      </c>
      <c r="D354" s="19" t="s">
        <v>228</v>
      </c>
      <c r="E354" s="19" t="s">
        <v>229</v>
      </c>
      <c r="F354" s="19" t="s">
        <v>53</v>
      </c>
      <c r="G354" s="19" t="s">
        <v>54</v>
      </c>
      <c r="H354" s="19" t="s">
        <v>309</v>
      </c>
      <c r="I354" s="19" t="n">
        <v>24</v>
      </c>
      <c r="J354" s="19" t="n">
        <v>40</v>
      </c>
      <c r="K354" s="19" t="s">
        <v>280</v>
      </c>
    </row>
    <row r="355" customFormat="false" ht="15" hidden="false" customHeight="true" outlineLevel="0" collapsed="false">
      <c r="B355" s="19" t="s">
        <v>643</v>
      </c>
      <c r="C355" s="19" t="s">
        <v>233</v>
      </c>
      <c r="D355" s="19" t="s">
        <v>234</v>
      </c>
      <c r="E355" s="19" t="s">
        <v>235</v>
      </c>
      <c r="F355" s="19" t="s">
        <v>66</v>
      </c>
      <c r="G355" s="19" t="s">
        <v>67</v>
      </c>
      <c r="H355" s="19" t="s">
        <v>285</v>
      </c>
      <c r="I355" s="19" t="n">
        <v>9</v>
      </c>
      <c r="J355" s="19" t="n">
        <v>40</v>
      </c>
      <c r="K355" s="19" t="s">
        <v>280</v>
      </c>
    </row>
    <row r="356" customFormat="false" ht="15" hidden="false" customHeight="true" outlineLevel="0" collapsed="false">
      <c r="B356" s="19" t="s">
        <v>644</v>
      </c>
      <c r="C356" s="19" t="s">
        <v>223</v>
      </c>
      <c r="D356" s="19" t="s">
        <v>224</v>
      </c>
      <c r="E356" s="19" t="s">
        <v>225</v>
      </c>
      <c r="F356" s="19" t="s">
        <v>53</v>
      </c>
      <c r="G356" s="19" t="s">
        <v>54</v>
      </c>
      <c r="H356" s="19" t="s">
        <v>287</v>
      </c>
      <c r="I356" s="19" t="n">
        <v>19</v>
      </c>
      <c r="J356" s="19" t="n">
        <v>40</v>
      </c>
      <c r="K356" s="19" t="s">
        <v>280</v>
      </c>
    </row>
  </sheetData>
  <conditionalFormatting sqref="K6:K356">
    <cfRule type="cellIs" priority="2" operator="equal" aboveAverage="0" equalAverage="0" bottom="0" percent="0" rank="0" text="" dxfId="5">
      <formula>"Tentative"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4"/>
  </cols>
  <sheetData>
    <row r="2" customFormat="false" ht="18.55" hidden="false" customHeight="false" outlineLevel="0" collapsed="false">
      <c r="B2" s="25" t="s">
        <v>645</v>
      </c>
    </row>
    <row r="3" customFormat="false" ht="15" hidden="false" customHeight="false" outlineLevel="0" collapsed="false">
      <c r="B3" s="26" t="s">
        <v>646</v>
      </c>
    </row>
    <row r="5" customFormat="false" ht="27.75" hidden="false" customHeight="true" outlineLevel="0" collapsed="false">
      <c r="B5" s="8" t="s">
        <v>647</v>
      </c>
      <c r="C5" s="8" t="s">
        <v>216</v>
      </c>
      <c r="D5" s="8" t="s">
        <v>217</v>
      </c>
      <c r="E5" s="8" t="s">
        <v>35</v>
      </c>
      <c r="F5" s="8" t="s">
        <v>36</v>
      </c>
      <c r="G5" s="8" t="s">
        <v>274</v>
      </c>
      <c r="H5" s="8" t="s">
        <v>648</v>
      </c>
      <c r="I5" s="8" t="s">
        <v>649</v>
      </c>
      <c r="J5" s="8" t="s">
        <v>650</v>
      </c>
    </row>
    <row r="6" customFormat="false" ht="15" hidden="false" customHeight="true" outlineLevel="0" collapsed="false">
      <c r="B6" s="19" t="s">
        <v>651</v>
      </c>
      <c r="C6" s="19" t="s">
        <v>242</v>
      </c>
      <c r="D6" s="19" t="s">
        <v>243</v>
      </c>
      <c r="E6" s="19" t="s">
        <v>58</v>
      </c>
      <c r="F6" s="19" t="s">
        <v>59</v>
      </c>
      <c r="G6" s="19" t="s">
        <v>312</v>
      </c>
      <c r="H6" s="19" t="n">
        <v>11</v>
      </c>
      <c r="I6" s="19" t="s">
        <v>649</v>
      </c>
      <c r="J6" s="19" t="s">
        <v>652</v>
      </c>
    </row>
    <row r="7" customFormat="false" ht="15" hidden="false" customHeight="true" outlineLevel="0" collapsed="false">
      <c r="B7" s="19" t="s">
        <v>653</v>
      </c>
      <c r="C7" s="19" t="s">
        <v>231</v>
      </c>
      <c r="D7" s="19" t="s">
        <v>232</v>
      </c>
      <c r="E7" s="19" t="s">
        <v>48</v>
      </c>
      <c r="F7" s="19" t="s">
        <v>49</v>
      </c>
      <c r="G7" s="19" t="s">
        <v>312</v>
      </c>
      <c r="H7" s="19" t="n">
        <v>12</v>
      </c>
      <c r="I7" s="19" t="s">
        <v>654</v>
      </c>
      <c r="J7" s="19" t="s">
        <v>652</v>
      </c>
    </row>
    <row r="8" customFormat="false" ht="15" hidden="false" customHeight="true" outlineLevel="0" collapsed="false">
      <c r="B8" s="19" t="s">
        <v>655</v>
      </c>
      <c r="C8" s="19" t="s">
        <v>223</v>
      </c>
      <c r="D8" s="19" t="s">
        <v>224</v>
      </c>
      <c r="E8" s="19" t="s">
        <v>53</v>
      </c>
      <c r="F8" s="19" t="s">
        <v>54</v>
      </c>
      <c r="G8" s="19" t="s">
        <v>283</v>
      </c>
      <c r="H8" s="19" t="n">
        <v>32</v>
      </c>
      <c r="I8" s="19" t="s">
        <v>649</v>
      </c>
      <c r="J8" s="19" t="s">
        <v>656</v>
      </c>
    </row>
    <row r="9" customFormat="false" ht="15" hidden="false" customHeight="true" outlineLevel="0" collapsed="false">
      <c r="B9" s="19" t="s">
        <v>657</v>
      </c>
      <c r="C9" s="19" t="s">
        <v>236</v>
      </c>
      <c r="D9" s="19" t="s">
        <v>237</v>
      </c>
      <c r="E9" s="19" t="s">
        <v>58</v>
      </c>
      <c r="F9" s="19" t="s">
        <v>59</v>
      </c>
      <c r="G9" s="19" t="s">
        <v>331</v>
      </c>
      <c r="H9" s="19" t="n">
        <v>33</v>
      </c>
      <c r="I9" s="19" t="s">
        <v>654</v>
      </c>
      <c r="J9" s="19" t="s">
        <v>652</v>
      </c>
    </row>
    <row r="10" customFormat="false" ht="15" hidden="false" customHeight="true" outlineLevel="0" collapsed="false">
      <c r="B10" s="19" t="s">
        <v>658</v>
      </c>
      <c r="C10" s="19" t="s">
        <v>236</v>
      </c>
      <c r="D10" s="19" t="s">
        <v>237</v>
      </c>
      <c r="E10" s="19" t="s">
        <v>53</v>
      </c>
      <c r="F10" s="19" t="s">
        <v>54</v>
      </c>
      <c r="G10" s="19" t="s">
        <v>312</v>
      </c>
      <c r="H10" s="19" t="n">
        <v>22</v>
      </c>
      <c r="I10" s="19" t="s">
        <v>649</v>
      </c>
      <c r="J10" s="19" t="s">
        <v>652</v>
      </c>
    </row>
    <row r="11" customFormat="false" ht="15" hidden="false" customHeight="true" outlineLevel="0" collapsed="false">
      <c r="B11" s="19" t="s">
        <v>659</v>
      </c>
      <c r="C11" s="19" t="s">
        <v>264</v>
      </c>
      <c r="D11" s="19" t="s">
        <v>265</v>
      </c>
      <c r="E11" s="19" t="s">
        <v>62</v>
      </c>
      <c r="F11" s="19" t="s">
        <v>63</v>
      </c>
      <c r="G11" s="19" t="s">
        <v>287</v>
      </c>
      <c r="H11" s="19" t="n">
        <v>12</v>
      </c>
      <c r="I11" s="19" t="s">
        <v>649</v>
      </c>
      <c r="J11" s="19" t="s">
        <v>652</v>
      </c>
    </row>
    <row r="12" customFormat="false" ht="15" hidden="false" customHeight="true" outlineLevel="0" collapsed="false">
      <c r="B12" s="19" t="s">
        <v>660</v>
      </c>
      <c r="C12" s="19" t="s">
        <v>227</v>
      </c>
      <c r="D12" s="19" t="s">
        <v>228</v>
      </c>
      <c r="E12" s="19" t="s">
        <v>42</v>
      </c>
      <c r="F12" s="19" t="s">
        <v>43</v>
      </c>
      <c r="G12" s="19" t="s">
        <v>312</v>
      </c>
      <c r="H12" s="19" t="n">
        <v>10</v>
      </c>
      <c r="I12" s="19" t="s">
        <v>649</v>
      </c>
      <c r="J12" s="19" t="s">
        <v>652</v>
      </c>
    </row>
    <row r="13" customFormat="false" ht="15" hidden="false" customHeight="true" outlineLevel="0" collapsed="false">
      <c r="B13" s="19" t="s">
        <v>661</v>
      </c>
      <c r="C13" s="19" t="s">
        <v>236</v>
      </c>
      <c r="D13" s="19" t="s">
        <v>237</v>
      </c>
      <c r="E13" s="19" t="s">
        <v>66</v>
      </c>
      <c r="F13" s="19" t="s">
        <v>67</v>
      </c>
      <c r="G13" s="19" t="s">
        <v>312</v>
      </c>
      <c r="H13" s="19" t="n">
        <v>18</v>
      </c>
      <c r="I13" s="19" t="s">
        <v>649</v>
      </c>
      <c r="J13" s="19" t="s">
        <v>652</v>
      </c>
    </row>
    <row r="14" customFormat="false" ht="15" hidden="false" customHeight="true" outlineLevel="0" collapsed="false">
      <c r="B14" s="19" t="s">
        <v>662</v>
      </c>
      <c r="C14" s="19" t="s">
        <v>223</v>
      </c>
      <c r="D14" s="19" t="s">
        <v>224</v>
      </c>
      <c r="E14" s="19" t="s">
        <v>48</v>
      </c>
      <c r="F14" s="19" t="s">
        <v>49</v>
      </c>
      <c r="G14" s="19" t="s">
        <v>285</v>
      </c>
      <c r="H14" s="19" t="n">
        <v>10</v>
      </c>
      <c r="I14" s="19" t="s">
        <v>649</v>
      </c>
      <c r="J14" s="19" t="s">
        <v>652</v>
      </c>
    </row>
    <row r="15" customFormat="false" ht="15" hidden="false" customHeight="true" outlineLevel="0" collapsed="false">
      <c r="B15" s="19" t="s">
        <v>663</v>
      </c>
      <c r="C15" s="19" t="s">
        <v>261</v>
      </c>
      <c r="D15" s="19" t="s">
        <v>262</v>
      </c>
      <c r="E15" s="19" t="s">
        <v>53</v>
      </c>
      <c r="F15" s="19" t="s">
        <v>54</v>
      </c>
      <c r="G15" s="19" t="s">
        <v>309</v>
      </c>
      <c r="H15" s="19" t="n">
        <v>13</v>
      </c>
      <c r="I15" s="19" t="s">
        <v>649</v>
      </c>
      <c r="J15" s="19" t="s">
        <v>652</v>
      </c>
    </row>
    <row r="16" customFormat="false" ht="15" hidden="false" customHeight="true" outlineLevel="0" collapsed="false">
      <c r="B16" s="19" t="s">
        <v>664</v>
      </c>
      <c r="C16" s="19" t="s">
        <v>242</v>
      </c>
      <c r="D16" s="19" t="s">
        <v>243</v>
      </c>
      <c r="E16" s="19" t="s">
        <v>48</v>
      </c>
      <c r="F16" s="19" t="s">
        <v>49</v>
      </c>
      <c r="G16" s="19" t="s">
        <v>289</v>
      </c>
      <c r="H16" s="19" t="n">
        <v>34</v>
      </c>
      <c r="I16" s="19" t="s">
        <v>649</v>
      </c>
      <c r="J16" s="19" t="s">
        <v>652</v>
      </c>
    </row>
    <row r="17" customFormat="false" ht="15" hidden="false" customHeight="true" outlineLevel="0" collapsed="false">
      <c r="B17" s="19" t="s">
        <v>665</v>
      </c>
      <c r="C17" s="19" t="s">
        <v>267</v>
      </c>
      <c r="D17" s="19" t="s">
        <v>268</v>
      </c>
      <c r="E17" s="19" t="s">
        <v>62</v>
      </c>
      <c r="F17" s="19" t="s">
        <v>63</v>
      </c>
      <c r="G17" s="19" t="s">
        <v>312</v>
      </c>
      <c r="H17" s="19" t="n">
        <v>18</v>
      </c>
      <c r="I17" s="19" t="s">
        <v>649</v>
      </c>
      <c r="J17" s="19" t="s">
        <v>652</v>
      </c>
    </row>
    <row r="18" customFormat="false" ht="15" hidden="false" customHeight="true" outlineLevel="0" collapsed="false">
      <c r="B18" s="19" t="s">
        <v>666</v>
      </c>
      <c r="C18" s="19" t="s">
        <v>245</v>
      </c>
      <c r="D18" s="19" t="s">
        <v>246</v>
      </c>
      <c r="E18" s="19" t="s">
        <v>53</v>
      </c>
      <c r="F18" s="19" t="s">
        <v>54</v>
      </c>
      <c r="G18" s="19" t="s">
        <v>300</v>
      </c>
      <c r="H18" s="19" t="n">
        <v>22</v>
      </c>
      <c r="I18" s="19" t="s">
        <v>649</v>
      </c>
      <c r="J18" s="19" t="s">
        <v>652</v>
      </c>
    </row>
    <row r="19" customFormat="false" ht="15" hidden="false" customHeight="true" outlineLevel="0" collapsed="false">
      <c r="B19" s="19" t="s">
        <v>667</v>
      </c>
      <c r="C19" s="19" t="s">
        <v>227</v>
      </c>
      <c r="D19" s="19" t="s">
        <v>228</v>
      </c>
      <c r="E19" s="19" t="s">
        <v>66</v>
      </c>
      <c r="F19" s="19" t="s">
        <v>67</v>
      </c>
      <c r="G19" s="19" t="s">
        <v>285</v>
      </c>
      <c r="H19" s="19" t="n">
        <v>17</v>
      </c>
      <c r="I19" s="19" t="s">
        <v>649</v>
      </c>
      <c r="J19" s="19" t="s">
        <v>652</v>
      </c>
    </row>
    <row r="20" customFormat="false" ht="15" hidden="false" customHeight="true" outlineLevel="0" collapsed="false">
      <c r="B20" s="19" t="s">
        <v>668</v>
      </c>
      <c r="C20" s="19" t="s">
        <v>261</v>
      </c>
      <c r="D20" s="19" t="s">
        <v>262</v>
      </c>
      <c r="E20" s="19" t="s">
        <v>48</v>
      </c>
      <c r="F20" s="19" t="s">
        <v>49</v>
      </c>
      <c r="G20" s="19" t="s">
        <v>279</v>
      </c>
      <c r="H20" s="19" t="n">
        <v>17</v>
      </c>
      <c r="I20" s="19" t="s">
        <v>649</v>
      </c>
      <c r="J20" s="19" t="s">
        <v>652</v>
      </c>
    </row>
    <row r="21" customFormat="false" ht="15" hidden="false" customHeight="true" outlineLevel="0" collapsed="false">
      <c r="B21" s="19" t="s">
        <v>669</v>
      </c>
      <c r="C21" s="19" t="s">
        <v>249</v>
      </c>
      <c r="D21" s="19" t="s">
        <v>250</v>
      </c>
      <c r="E21" s="19" t="s">
        <v>48</v>
      </c>
      <c r="F21" s="19" t="s">
        <v>49</v>
      </c>
      <c r="G21" s="19" t="s">
        <v>331</v>
      </c>
      <c r="H21" s="19" t="n">
        <v>18</v>
      </c>
      <c r="I21" s="19" t="s">
        <v>649</v>
      </c>
      <c r="J21" s="19" t="s">
        <v>652</v>
      </c>
    </row>
    <row r="22" customFormat="false" ht="15" hidden="false" customHeight="true" outlineLevel="0" collapsed="false">
      <c r="B22" s="19" t="s">
        <v>670</v>
      </c>
      <c r="C22" s="19" t="s">
        <v>249</v>
      </c>
      <c r="D22" s="19" t="s">
        <v>250</v>
      </c>
      <c r="E22" s="19" t="s">
        <v>62</v>
      </c>
      <c r="F22" s="19" t="s">
        <v>63</v>
      </c>
      <c r="G22" s="19" t="s">
        <v>312</v>
      </c>
      <c r="H22" s="19" t="n">
        <v>26</v>
      </c>
      <c r="I22" s="19" t="s">
        <v>649</v>
      </c>
      <c r="J22" s="19" t="s">
        <v>652</v>
      </c>
    </row>
    <row r="23" customFormat="false" ht="15" hidden="false" customHeight="true" outlineLevel="0" collapsed="false">
      <c r="B23" s="19" t="s">
        <v>671</v>
      </c>
      <c r="C23" s="19" t="s">
        <v>227</v>
      </c>
      <c r="D23" s="19" t="s">
        <v>228</v>
      </c>
      <c r="E23" s="19" t="s">
        <v>53</v>
      </c>
      <c r="F23" s="19" t="s">
        <v>54</v>
      </c>
      <c r="G23" s="19" t="s">
        <v>293</v>
      </c>
      <c r="H23" s="19" t="n">
        <v>11</v>
      </c>
      <c r="I23" s="19" t="s">
        <v>649</v>
      </c>
      <c r="J23" s="19" t="s">
        <v>652</v>
      </c>
    </row>
    <row r="24" customFormat="false" ht="15" hidden="false" customHeight="true" outlineLevel="0" collapsed="false">
      <c r="B24" s="19" t="s">
        <v>672</v>
      </c>
      <c r="C24" s="19" t="s">
        <v>238</v>
      </c>
      <c r="D24" s="19" t="s">
        <v>239</v>
      </c>
      <c r="E24" s="19" t="s">
        <v>42</v>
      </c>
      <c r="F24" s="19" t="s">
        <v>43</v>
      </c>
      <c r="G24" s="19" t="s">
        <v>289</v>
      </c>
      <c r="H24" s="19" t="n">
        <v>17</v>
      </c>
      <c r="I24" s="19" t="s">
        <v>649</v>
      </c>
      <c r="J24" s="19" t="s">
        <v>652</v>
      </c>
    </row>
    <row r="25" customFormat="false" ht="15" hidden="false" customHeight="true" outlineLevel="0" collapsed="false">
      <c r="B25" s="19" t="s">
        <v>673</v>
      </c>
      <c r="C25" s="19" t="s">
        <v>258</v>
      </c>
      <c r="D25" s="19" t="s">
        <v>259</v>
      </c>
      <c r="E25" s="19" t="s">
        <v>48</v>
      </c>
      <c r="F25" s="19" t="s">
        <v>49</v>
      </c>
      <c r="G25" s="19" t="s">
        <v>300</v>
      </c>
      <c r="H25" s="19" t="n">
        <v>17</v>
      </c>
      <c r="I25" s="19" t="s">
        <v>654</v>
      </c>
      <c r="J25" s="19" t="s">
        <v>652</v>
      </c>
    </row>
    <row r="26" customFormat="false" ht="15" hidden="false" customHeight="true" outlineLevel="0" collapsed="false">
      <c r="B26" s="19" t="s">
        <v>674</v>
      </c>
      <c r="C26" s="19" t="s">
        <v>238</v>
      </c>
      <c r="D26" s="19" t="s">
        <v>239</v>
      </c>
      <c r="E26" s="19" t="s">
        <v>48</v>
      </c>
      <c r="F26" s="19" t="s">
        <v>49</v>
      </c>
      <c r="G26" s="19" t="s">
        <v>293</v>
      </c>
      <c r="H26" s="19" t="n">
        <v>13</v>
      </c>
      <c r="I26" s="19" t="s">
        <v>649</v>
      </c>
      <c r="J26" s="19" t="s">
        <v>652</v>
      </c>
    </row>
    <row r="27" customFormat="false" ht="15" hidden="false" customHeight="true" outlineLevel="0" collapsed="false">
      <c r="B27" s="19" t="s">
        <v>675</v>
      </c>
      <c r="C27" s="19" t="s">
        <v>236</v>
      </c>
      <c r="D27" s="19" t="s">
        <v>237</v>
      </c>
      <c r="E27" s="19" t="s">
        <v>42</v>
      </c>
      <c r="F27" s="19" t="s">
        <v>43</v>
      </c>
      <c r="G27" s="19" t="s">
        <v>285</v>
      </c>
      <c r="H27" s="19" t="n">
        <v>15</v>
      </c>
      <c r="I27" s="19" t="s">
        <v>649</v>
      </c>
      <c r="J27" s="19" t="s">
        <v>652</v>
      </c>
    </row>
    <row r="28" customFormat="false" ht="15" hidden="false" customHeight="true" outlineLevel="0" collapsed="false">
      <c r="B28" s="19" t="s">
        <v>676</v>
      </c>
      <c r="C28" s="19" t="s">
        <v>267</v>
      </c>
      <c r="D28" s="19" t="s">
        <v>268</v>
      </c>
      <c r="E28" s="19" t="s">
        <v>62</v>
      </c>
      <c r="F28" s="19" t="s">
        <v>63</v>
      </c>
      <c r="G28" s="19" t="s">
        <v>291</v>
      </c>
      <c r="H28" s="19" t="n">
        <v>9</v>
      </c>
      <c r="I28" s="19" t="s">
        <v>649</v>
      </c>
      <c r="J28" s="19" t="s">
        <v>652</v>
      </c>
    </row>
    <row r="29" customFormat="false" ht="15" hidden="false" customHeight="true" outlineLevel="0" collapsed="false">
      <c r="B29" s="19" t="s">
        <v>677</v>
      </c>
      <c r="C29" s="19" t="s">
        <v>258</v>
      </c>
      <c r="D29" s="19" t="s">
        <v>259</v>
      </c>
      <c r="E29" s="19" t="s">
        <v>48</v>
      </c>
      <c r="F29" s="19" t="s">
        <v>49</v>
      </c>
      <c r="G29" s="19" t="s">
        <v>331</v>
      </c>
      <c r="H29" s="19" t="n">
        <v>17</v>
      </c>
      <c r="I29" s="19" t="s">
        <v>654</v>
      </c>
      <c r="J29" s="19" t="s">
        <v>652</v>
      </c>
    </row>
    <row r="30" customFormat="false" ht="15" hidden="false" customHeight="true" outlineLevel="0" collapsed="false">
      <c r="B30" s="19" t="s">
        <v>678</v>
      </c>
      <c r="C30" s="19" t="s">
        <v>255</v>
      </c>
      <c r="D30" s="19" t="s">
        <v>256</v>
      </c>
      <c r="E30" s="19" t="s">
        <v>53</v>
      </c>
      <c r="F30" s="19" t="s">
        <v>54</v>
      </c>
      <c r="G30" s="19" t="s">
        <v>279</v>
      </c>
      <c r="H30" s="19" t="n">
        <v>9</v>
      </c>
      <c r="I30" s="19" t="s">
        <v>649</v>
      </c>
      <c r="J30" s="19" t="s">
        <v>652</v>
      </c>
    </row>
    <row r="31" customFormat="false" ht="15" hidden="false" customHeight="true" outlineLevel="0" collapsed="false">
      <c r="B31" s="19" t="s">
        <v>679</v>
      </c>
      <c r="C31" s="19" t="s">
        <v>242</v>
      </c>
      <c r="D31" s="19" t="s">
        <v>243</v>
      </c>
      <c r="E31" s="19" t="s">
        <v>53</v>
      </c>
      <c r="F31" s="19" t="s">
        <v>54</v>
      </c>
      <c r="G31" s="19" t="s">
        <v>312</v>
      </c>
      <c r="H31" s="19" t="n">
        <v>9</v>
      </c>
      <c r="I31" s="19" t="s">
        <v>649</v>
      </c>
      <c r="J31" s="19" t="s">
        <v>652</v>
      </c>
    </row>
    <row r="32" customFormat="false" ht="15" hidden="false" customHeight="true" outlineLevel="0" collapsed="false">
      <c r="B32" s="19" t="s">
        <v>680</v>
      </c>
      <c r="C32" s="19" t="s">
        <v>236</v>
      </c>
      <c r="D32" s="19" t="s">
        <v>237</v>
      </c>
      <c r="E32" s="19" t="s">
        <v>58</v>
      </c>
      <c r="F32" s="19" t="s">
        <v>59</v>
      </c>
      <c r="G32" s="19" t="s">
        <v>283</v>
      </c>
      <c r="H32" s="19" t="n">
        <v>15</v>
      </c>
      <c r="I32" s="19" t="s">
        <v>649</v>
      </c>
      <c r="J32" s="19" t="s">
        <v>652</v>
      </c>
    </row>
    <row r="33" customFormat="false" ht="15" hidden="false" customHeight="true" outlineLevel="0" collapsed="false">
      <c r="B33" s="19" t="s">
        <v>681</v>
      </c>
      <c r="C33" s="19" t="s">
        <v>267</v>
      </c>
      <c r="D33" s="19" t="s">
        <v>268</v>
      </c>
      <c r="E33" s="19" t="s">
        <v>53</v>
      </c>
      <c r="F33" s="19" t="s">
        <v>54</v>
      </c>
      <c r="G33" s="19" t="s">
        <v>279</v>
      </c>
      <c r="H33" s="19" t="n">
        <v>9</v>
      </c>
      <c r="I33" s="19" t="s">
        <v>649</v>
      </c>
      <c r="J33" s="19" t="s">
        <v>652</v>
      </c>
    </row>
    <row r="34" customFormat="false" ht="15" hidden="false" customHeight="true" outlineLevel="0" collapsed="false">
      <c r="B34" s="19" t="s">
        <v>682</v>
      </c>
      <c r="C34" s="19" t="s">
        <v>261</v>
      </c>
      <c r="D34" s="19" t="s">
        <v>262</v>
      </c>
      <c r="E34" s="19" t="s">
        <v>48</v>
      </c>
      <c r="F34" s="19" t="s">
        <v>49</v>
      </c>
      <c r="G34" s="19" t="s">
        <v>289</v>
      </c>
      <c r="H34" s="19" t="n">
        <v>16</v>
      </c>
      <c r="I34" s="19" t="s">
        <v>654</v>
      </c>
      <c r="J34" s="19" t="s">
        <v>652</v>
      </c>
    </row>
    <row r="35" customFormat="false" ht="15" hidden="false" customHeight="true" outlineLevel="0" collapsed="false">
      <c r="B35" s="19" t="s">
        <v>683</v>
      </c>
      <c r="C35" s="19" t="s">
        <v>227</v>
      </c>
      <c r="D35" s="19" t="s">
        <v>228</v>
      </c>
      <c r="E35" s="19" t="s">
        <v>58</v>
      </c>
      <c r="F35" s="19" t="s">
        <v>59</v>
      </c>
      <c r="G35" s="19" t="s">
        <v>293</v>
      </c>
      <c r="H35" s="19" t="n">
        <v>6</v>
      </c>
      <c r="I35" s="19" t="s">
        <v>649</v>
      </c>
      <c r="J35" s="19" t="s">
        <v>652</v>
      </c>
    </row>
    <row r="36" customFormat="false" ht="15" hidden="false" customHeight="true" outlineLevel="0" collapsed="false">
      <c r="B36" s="19" t="s">
        <v>684</v>
      </c>
      <c r="C36" s="19" t="s">
        <v>253</v>
      </c>
      <c r="D36" s="19" t="s">
        <v>254</v>
      </c>
      <c r="E36" s="19" t="s">
        <v>62</v>
      </c>
      <c r="F36" s="19" t="s">
        <v>63</v>
      </c>
      <c r="G36" s="19" t="s">
        <v>300</v>
      </c>
      <c r="H36" s="19" t="n">
        <v>16</v>
      </c>
      <c r="I36" s="19" t="s">
        <v>649</v>
      </c>
      <c r="J36" s="19" t="s">
        <v>652</v>
      </c>
    </row>
    <row r="37" customFormat="false" ht="15" hidden="false" customHeight="true" outlineLevel="0" collapsed="false">
      <c r="B37" s="19" t="s">
        <v>685</v>
      </c>
      <c r="C37" s="19" t="s">
        <v>238</v>
      </c>
      <c r="D37" s="19" t="s">
        <v>239</v>
      </c>
      <c r="E37" s="19" t="s">
        <v>58</v>
      </c>
      <c r="F37" s="19" t="s">
        <v>59</v>
      </c>
      <c r="G37" s="19" t="s">
        <v>312</v>
      </c>
      <c r="H37" s="19" t="n">
        <v>20</v>
      </c>
      <c r="I37" s="19" t="s">
        <v>649</v>
      </c>
      <c r="J37" s="19" t="s">
        <v>652</v>
      </c>
    </row>
    <row r="38" customFormat="false" ht="15" hidden="false" customHeight="true" outlineLevel="0" collapsed="false">
      <c r="B38" s="19" t="s">
        <v>686</v>
      </c>
      <c r="C38" s="19" t="s">
        <v>245</v>
      </c>
      <c r="D38" s="19" t="s">
        <v>246</v>
      </c>
      <c r="E38" s="19" t="s">
        <v>62</v>
      </c>
      <c r="F38" s="19" t="s">
        <v>63</v>
      </c>
      <c r="G38" s="19" t="s">
        <v>331</v>
      </c>
      <c r="H38" s="19" t="n">
        <v>20</v>
      </c>
      <c r="I38" s="19" t="s">
        <v>649</v>
      </c>
      <c r="J38" s="19" t="s">
        <v>652</v>
      </c>
    </row>
    <row r="39" customFormat="false" ht="15" hidden="false" customHeight="true" outlineLevel="0" collapsed="false">
      <c r="B39" s="19" t="s">
        <v>687</v>
      </c>
      <c r="C39" s="19" t="s">
        <v>249</v>
      </c>
      <c r="D39" s="19" t="s">
        <v>250</v>
      </c>
      <c r="E39" s="19" t="s">
        <v>42</v>
      </c>
      <c r="F39" s="19" t="s">
        <v>43</v>
      </c>
      <c r="G39" s="19" t="s">
        <v>291</v>
      </c>
      <c r="H39" s="19" t="n">
        <v>14</v>
      </c>
      <c r="I39" s="19" t="s">
        <v>649</v>
      </c>
      <c r="J39" s="19" t="s">
        <v>652</v>
      </c>
    </row>
    <row r="40" customFormat="false" ht="15" hidden="false" customHeight="true" outlineLevel="0" collapsed="false">
      <c r="B40" s="19" t="s">
        <v>688</v>
      </c>
      <c r="C40" s="19" t="s">
        <v>236</v>
      </c>
      <c r="D40" s="19" t="s">
        <v>237</v>
      </c>
      <c r="E40" s="19" t="s">
        <v>58</v>
      </c>
      <c r="F40" s="19" t="s">
        <v>59</v>
      </c>
      <c r="G40" s="19" t="s">
        <v>285</v>
      </c>
      <c r="H40" s="19" t="n">
        <v>15</v>
      </c>
      <c r="I40" s="19" t="s">
        <v>649</v>
      </c>
      <c r="J40" s="19" t="s">
        <v>652</v>
      </c>
    </row>
    <row r="41" customFormat="false" ht="15" hidden="false" customHeight="true" outlineLevel="0" collapsed="false">
      <c r="B41" s="19" t="s">
        <v>689</v>
      </c>
      <c r="C41" s="19" t="s">
        <v>264</v>
      </c>
      <c r="D41" s="19" t="s">
        <v>265</v>
      </c>
      <c r="E41" s="19" t="s">
        <v>48</v>
      </c>
      <c r="F41" s="19" t="s">
        <v>49</v>
      </c>
      <c r="G41" s="19" t="s">
        <v>285</v>
      </c>
      <c r="H41" s="19" t="n">
        <v>11</v>
      </c>
      <c r="I41" s="19" t="s">
        <v>654</v>
      </c>
      <c r="J41" s="19" t="s">
        <v>652</v>
      </c>
    </row>
    <row r="42" customFormat="false" ht="15" hidden="false" customHeight="true" outlineLevel="0" collapsed="false">
      <c r="B42" s="19" t="s">
        <v>690</v>
      </c>
      <c r="C42" s="19" t="s">
        <v>258</v>
      </c>
      <c r="D42" s="19" t="s">
        <v>259</v>
      </c>
      <c r="E42" s="19" t="s">
        <v>53</v>
      </c>
      <c r="F42" s="19" t="s">
        <v>54</v>
      </c>
      <c r="G42" s="19" t="s">
        <v>285</v>
      </c>
      <c r="H42" s="19" t="n">
        <v>13</v>
      </c>
      <c r="I42" s="19" t="s">
        <v>649</v>
      </c>
      <c r="J42" s="19" t="s">
        <v>652</v>
      </c>
    </row>
    <row r="43" customFormat="false" ht="15" hidden="false" customHeight="true" outlineLevel="0" collapsed="false">
      <c r="B43" s="19" t="s">
        <v>691</v>
      </c>
      <c r="C43" s="19" t="s">
        <v>233</v>
      </c>
      <c r="D43" s="19" t="s">
        <v>234</v>
      </c>
      <c r="E43" s="19" t="s">
        <v>58</v>
      </c>
      <c r="F43" s="19" t="s">
        <v>59</v>
      </c>
      <c r="G43" s="19" t="s">
        <v>312</v>
      </c>
      <c r="H43" s="19" t="n">
        <v>13</v>
      </c>
      <c r="I43" s="19" t="s">
        <v>649</v>
      </c>
      <c r="J43" s="19" t="s">
        <v>652</v>
      </c>
    </row>
    <row r="44" customFormat="false" ht="15" hidden="false" customHeight="true" outlineLevel="0" collapsed="false">
      <c r="B44" s="19" t="s">
        <v>692</v>
      </c>
      <c r="C44" s="19" t="s">
        <v>255</v>
      </c>
      <c r="D44" s="19" t="s">
        <v>256</v>
      </c>
      <c r="E44" s="19" t="s">
        <v>62</v>
      </c>
      <c r="F44" s="19" t="s">
        <v>63</v>
      </c>
      <c r="G44" s="19" t="s">
        <v>289</v>
      </c>
      <c r="H44" s="19" t="n">
        <v>19</v>
      </c>
      <c r="I44" s="19" t="s">
        <v>649</v>
      </c>
      <c r="J44" s="19" t="s">
        <v>652</v>
      </c>
    </row>
    <row r="45" customFormat="false" ht="15" hidden="false" customHeight="true" outlineLevel="0" collapsed="false">
      <c r="B45" s="19" t="s">
        <v>693</v>
      </c>
      <c r="C45" s="19" t="s">
        <v>236</v>
      </c>
      <c r="D45" s="19" t="s">
        <v>237</v>
      </c>
      <c r="E45" s="19" t="s">
        <v>48</v>
      </c>
      <c r="F45" s="19" t="s">
        <v>49</v>
      </c>
      <c r="G45" s="19" t="s">
        <v>293</v>
      </c>
      <c r="H45" s="19" t="n">
        <v>8</v>
      </c>
      <c r="I45" s="19" t="s">
        <v>649</v>
      </c>
      <c r="J45" s="19" t="s">
        <v>652</v>
      </c>
    </row>
    <row r="46" customFormat="false" ht="15" hidden="false" customHeight="true" outlineLevel="0" collapsed="false">
      <c r="B46" s="19" t="s">
        <v>694</v>
      </c>
      <c r="C46" s="19" t="s">
        <v>253</v>
      </c>
      <c r="D46" s="19" t="s">
        <v>254</v>
      </c>
      <c r="E46" s="19" t="s">
        <v>42</v>
      </c>
      <c r="F46" s="19" t="s">
        <v>43</v>
      </c>
      <c r="G46" s="19" t="s">
        <v>291</v>
      </c>
      <c r="H46" s="19" t="n">
        <v>12</v>
      </c>
      <c r="I46" s="19" t="s">
        <v>649</v>
      </c>
      <c r="J46" s="19" t="s">
        <v>652</v>
      </c>
    </row>
    <row r="47" customFormat="false" ht="15" hidden="false" customHeight="true" outlineLevel="0" collapsed="false">
      <c r="B47" s="19" t="s">
        <v>695</v>
      </c>
      <c r="C47" s="19" t="s">
        <v>245</v>
      </c>
      <c r="D47" s="19" t="s">
        <v>246</v>
      </c>
      <c r="E47" s="19" t="s">
        <v>62</v>
      </c>
      <c r="F47" s="19" t="s">
        <v>63</v>
      </c>
      <c r="G47" s="19" t="s">
        <v>295</v>
      </c>
      <c r="H47" s="19" t="n">
        <v>19</v>
      </c>
      <c r="I47" s="19" t="s">
        <v>649</v>
      </c>
      <c r="J47" s="19" t="s">
        <v>652</v>
      </c>
    </row>
    <row r="48" customFormat="false" ht="15" hidden="false" customHeight="true" outlineLevel="0" collapsed="false">
      <c r="B48" s="19" t="s">
        <v>696</v>
      </c>
      <c r="C48" s="19" t="s">
        <v>238</v>
      </c>
      <c r="D48" s="19" t="s">
        <v>239</v>
      </c>
      <c r="E48" s="19" t="s">
        <v>66</v>
      </c>
      <c r="F48" s="19" t="s">
        <v>67</v>
      </c>
      <c r="G48" s="19" t="s">
        <v>300</v>
      </c>
      <c r="H48" s="19" t="n">
        <v>14</v>
      </c>
      <c r="I48" s="19" t="s">
        <v>654</v>
      </c>
      <c r="J48" s="19" t="s">
        <v>652</v>
      </c>
    </row>
    <row r="49" customFormat="false" ht="15" hidden="false" customHeight="true" outlineLevel="0" collapsed="false">
      <c r="B49" s="19" t="s">
        <v>697</v>
      </c>
      <c r="C49" s="19" t="s">
        <v>236</v>
      </c>
      <c r="D49" s="19" t="s">
        <v>237</v>
      </c>
      <c r="E49" s="19" t="s">
        <v>58</v>
      </c>
      <c r="F49" s="19" t="s">
        <v>59</v>
      </c>
      <c r="G49" s="19" t="s">
        <v>291</v>
      </c>
      <c r="H49" s="19" t="n">
        <v>9</v>
      </c>
      <c r="I49" s="19" t="s">
        <v>649</v>
      </c>
      <c r="J49" s="19" t="s">
        <v>652</v>
      </c>
    </row>
    <row r="50" customFormat="false" ht="15" hidden="false" customHeight="true" outlineLevel="0" collapsed="false">
      <c r="B50" s="19" t="s">
        <v>698</v>
      </c>
      <c r="C50" s="19" t="s">
        <v>255</v>
      </c>
      <c r="D50" s="19" t="s">
        <v>256</v>
      </c>
      <c r="E50" s="19" t="s">
        <v>66</v>
      </c>
      <c r="F50" s="19" t="s">
        <v>67</v>
      </c>
      <c r="G50" s="19" t="s">
        <v>287</v>
      </c>
      <c r="H50" s="19" t="n">
        <v>17</v>
      </c>
      <c r="I50" s="19" t="s">
        <v>649</v>
      </c>
      <c r="J50" s="19" t="s">
        <v>652</v>
      </c>
    </row>
    <row r="51" customFormat="false" ht="15" hidden="false" customHeight="true" outlineLevel="0" collapsed="false">
      <c r="B51" s="19" t="s">
        <v>699</v>
      </c>
      <c r="C51" s="19" t="s">
        <v>267</v>
      </c>
      <c r="D51" s="19" t="s">
        <v>268</v>
      </c>
      <c r="E51" s="19" t="s">
        <v>58</v>
      </c>
      <c r="F51" s="19" t="s">
        <v>59</v>
      </c>
      <c r="G51" s="19" t="s">
        <v>293</v>
      </c>
      <c r="H51" s="19" t="n">
        <v>20</v>
      </c>
      <c r="I51" s="19" t="s">
        <v>654</v>
      </c>
      <c r="J51" s="19" t="s">
        <v>652</v>
      </c>
    </row>
    <row r="52" customFormat="false" ht="15" hidden="false" customHeight="true" outlineLevel="0" collapsed="false">
      <c r="B52" s="19" t="s">
        <v>700</v>
      </c>
      <c r="C52" s="19" t="s">
        <v>233</v>
      </c>
      <c r="D52" s="19" t="s">
        <v>234</v>
      </c>
      <c r="E52" s="19" t="s">
        <v>58</v>
      </c>
      <c r="F52" s="19" t="s">
        <v>59</v>
      </c>
      <c r="G52" s="19" t="s">
        <v>291</v>
      </c>
      <c r="H52" s="19" t="n">
        <v>17</v>
      </c>
      <c r="I52" s="19" t="s">
        <v>654</v>
      </c>
      <c r="J52" s="19" t="s">
        <v>652</v>
      </c>
    </row>
    <row r="53" customFormat="false" ht="15" hidden="false" customHeight="true" outlineLevel="0" collapsed="false">
      <c r="B53" s="19" t="s">
        <v>701</v>
      </c>
      <c r="C53" s="19" t="s">
        <v>227</v>
      </c>
      <c r="D53" s="19" t="s">
        <v>228</v>
      </c>
      <c r="E53" s="19" t="s">
        <v>42</v>
      </c>
      <c r="F53" s="19" t="s">
        <v>43</v>
      </c>
      <c r="G53" s="19" t="s">
        <v>289</v>
      </c>
      <c r="H53" s="19" t="n">
        <v>6</v>
      </c>
      <c r="I53" s="19" t="s">
        <v>649</v>
      </c>
      <c r="J53" s="19" t="s">
        <v>652</v>
      </c>
    </row>
    <row r="54" customFormat="false" ht="15" hidden="false" customHeight="true" outlineLevel="0" collapsed="false">
      <c r="B54" s="19" t="s">
        <v>702</v>
      </c>
      <c r="C54" s="19" t="s">
        <v>238</v>
      </c>
      <c r="D54" s="19" t="s">
        <v>239</v>
      </c>
      <c r="E54" s="19" t="s">
        <v>42</v>
      </c>
      <c r="F54" s="19" t="s">
        <v>43</v>
      </c>
      <c r="G54" s="19" t="s">
        <v>279</v>
      </c>
      <c r="H54" s="19" t="n">
        <v>34</v>
      </c>
      <c r="I54" s="19" t="s">
        <v>649</v>
      </c>
      <c r="J54" s="19" t="s">
        <v>652</v>
      </c>
    </row>
    <row r="55" customFormat="false" ht="15" hidden="false" customHeight="true" outlineLevel="0" collapsed="false">
      <c r="B55" s="19" t="s">
        <v>703</v>
      </c>
      <c r="C55" s="19" t="s">
        <v>242</v>
      </c>
      <c r="D55" s="19" t="s">
        <v>243</v>
      </c>
      <c r="E55" s="19" t="s">
        <v>48</v>
      </c>
      <c r="F55" s="19" t="s">
        <v>49</v>
      </c>
      <c r="G55" s="19" t="s">
        <v>283</v>
      </c>
      <c r="H55" s="19" t="n">
        <v>13</v>
      </c>
      <c r="I55" s="19" t="s">
        <v>649</v>
      </c>
      <c r="J55" s="19" t="s">
        <v>652</v>
      </c>
    </row>
    <row r="56" customFormat="false" ht="15" hidden="false" customHeight="true" outlineLevel="0" collapsed="false">
      <c r="B56" s="19" t="s">
        <v>704</v>
      </c>
      <c r="C56" s="19" t="s">
        <v>261</v>
      </c>
      <c r="D56" s="19" t="s">
        <v>262</v>
      </c>
      <c r="E56" s="19" t="s">
        <v>62</v>
      </c>
      <c r="F56" s="19" t="s">
        <v>63</v>
      </c>
      <c r="G56" s="19" t="s">
        <v>300</v>
      </c>
      <c r="H56" s="19" t="n">
        <v>28</v>
      </c>
      <c r="I56" s="19" t="s">
        <v>649</v>
      </c>
      <c r="J56" s="19" t="s">
        <v>652</v>
      </c>
    </row>
    <row r="57" customFormat="false" ht="15" hidden="false" customHeight="true" outlineLevel="0" collapsed="false">
      <c r="B57" s="19" t="s">
        <v>705</v>
      </c>
      <c r="C57" s="19" t="s">
        <v>238</v>
      </c>
      <c r="D57" s="19" t="s">
        <v>239</v>
      </c>
      <c r="E57" s="19" t="s">
        <v>62</v>
      </c>
      <c r="F57" s="19" t="s">
        <v>63</v>
      </c>
      <c r="G57" s="19" t="s">
        <v>291</v>
      </c>
      <c r="H57" s="19" t="n">
        <v>30</v>
      </c>
      <c r="I57" s="19" t="s">
        <v>649</v>
      </c>
      <c r="J57" s="19" t="s">
        <v>652</v>
      </c>
    </row>
    <row r="58" customFormat="false" ht="15" hidden="false" customHeight="true" outlineLevel="0" collapsed="false">
      <c r="B58" s="19" t="s">
        <v>706</v>
      </c>
      <c r="C58" s="19" t="s">
        <v>238</v>
      </c>
      <c r="D58" s="19" t="s">
        <v>239</v>
      </c>
      <c r="E58" s="19" t="s">
        <v>62</v>
      </c>
      <c r="F58" s="19" t="s">
        <v>63</v>
      </c>
      <c r="G58" s="19" t="s">
        <v>283</v>
      </c>
      <c r="H58" s="19" t="n">
        <v>19</v>
      </c>
      <c r="I58" s="19" t="s">
        <v>649</v>
      </c>
      <c r="J58" s="19" t="s">
        <v>652</v>
      </c>
    </row>
    <row r="59" customFormat="false" ht="15" hidden="false" customHeight="true" outlineLevel="0" collapsed="false">
      <c r="B59" s="19" t="s">
        <v>707</v>
      </c>
      <c r="C59" s="19" t="s">
        <v>264</v>
      </c>
      <c r="D59" s="19" t="s">
        <v>265</v>
      </c>
      <c r="E59" s="19" t="s">
        <v>62</v>
      </c>
      <c r="F59" s="19" t="s">
        <v>63</v>
      </c>
      <c r="G59" s="19" t="s">
        <v>285</v>
      </c>
      <c r="H59" s="19" t="n">
        <v>11</v>
      </c>
      <c r="I59" s="19" t="s">
        <v>649</v>
      </c>
      <c r="J59" s="19" t="s">
        <v>652</v>
      </c>
    </row>
    <row r="60" customFormat="false" ht="15" hidden="false" customHeight="true" outlineLevel="0" collapsed="false">
      <c r="B60" s="19" t="s">
        <v>708</v>
      </c>
      <c r="C60" s="19" t="s">
        <v>253</v>
      </c>
      <c r="D60" s="19" t="s">
        <v>254</v>
      </c>
      <c r="E60" s="19" t="s">
        <v>58</v>
      </c>
      <c r="F60" s="19" t="s">
        <v>59</v>
      </c>
      <c r="G60" s="19" t="s">
        <v>291</v>
      </c>
      <c r="H60" s="19" t="n">
        <v>13</v>
      </c>
      <c r="I60" s="19" t="s">
        <v>649</v>
      </c>
      <c r="J60" s="19" t="s">
        <v>652</v>
      </c>
    </row>
    <row r="61" customFormat="false" ht="15" hidden="false" customHeight="true" outlineLevel="0" collapsed="false">
      <c r="B61" s="19" t="s">
        <v>709</v>
      </c>
      <c r="C61" s="19" t="s">
        <v>227</v>
      </c>
      <c r="D61" s="19" t="s">
        <v>228</v>
      </c>
      <c r="E61" s="19" t="s">
        <v>58</v>
      </c>
      <c r="F61" s="19" t="s">
        <v>59</v>
      </c>
      <c r="G61" s="19" t="s">
        <v>279</v>
      </c>
      <c r="H61" s="19" t="n">
        <v>13</v>
      </c>
      <c r="I61" s="19" t="s">
        <v>649</v>
      </c>
      <c r="J61" s="19" t="s">
        <v>652</v>
      </c>
    </row>
    <row r="62" customFormat="false" ht="15" hidden="false" customHeight="true" outlineLevel="0" collapsed="false">
      <c r="B62" s="19" t="s">
        <v>710</v>
      </c>
      <c r="C62" s="19" t="s">
        <v>255</v>
      </c>
      <c r="D62" s="19" t="s">
        <v>256</v>
      </c>
      <c r="E62" s="19" t="s">
        <v>48</v>
      </c>
      <c r="F62" s="19" t="s">
        <v>49</v>
      </c>
      <c r="G62" s="19" t="s">
        <v>309</v>
      </c>
      <c r="H62" s="19" t="n">
        <v>18</v>
      </c>
      <c r="I62" s="19" t="s">
        <v>649</v>
      </c>
      <c r="J62" s="19" t="s">
        <v>652</v>
      </c>
    </row>
    <row r="63" customFormat="false" ht="15" hidden="false" customHeight="true" outlineLevel="0" collapsed="false">
      <c r="B63" s="19" t="s">
        <v>711</v>
      </c>
      <c r="C63" s="19" t="s">
        <v>245</v>
      </c>
      <c r="D63" s="19" t="s">
        <v>246</v>
      </c>
      <c r="E63" s="19" t="s">
        <v>42</v>
      </c>
      <c r="F63" s="19" t="s">
        <v>43</v>
      </c>
      <c r="G63" s="19" t="s">
        <v>283</v>
      </c>
      <c r="H63" s="19" t="n">
        <v>17</v>
      </c>
      <c r="I63" s="19" t="s">
        <v>649</v>
      </c>
      <c r="J63" s="19" t="s">
        <v>652</v>
      </c>
    </row>
    <row r="64" customFormat="false" ht="15" hidden="false" customHeight="true" outlineLevel="0" collapsed="false">
      <c r="B64" s="19" t="s">
        <v>712</v>
      </c>
      <c r="C64" s="19" t="s">
        <v>249</v>
      </c>
      <c r="D64" s="19" t="s">
        <v>250</v>
      </c>
      <c r="E64" s="19" t="s">
        <v>42</v>
      </c>
      <c r="F64" s="19" t="s">
        <v>43</v>
      </c>
      <c r="G64" s="19" t="s">
        <v>300</v>
      </c>
      <c r="H64" s="19" t="n">
        <v>40</v>
      </c>
      <c r="I64" s="19" t="s">
        <v>649</v>
      </c>
      <c r="J64" s="19" t="s">
        <v>652</v>
      </c>
    </row>
    <row r="65" customFormat="false" ht="15" hidden="false" customHeight="true" outlineLevel="0" collapsed="false">
      <c r="B65" s="19" t="s">
        <v>713</v>
      </c>
      <c r="C65" s="19" t="s">
        <v>231</v>
      </c>
      <c r="D65" s="19" t="s">
        <v>232</v>
      </c>
      <c r="E65" s="19" t="s">
        <v>48</v>
      </c>
      <c r="F65" s="19" t="s">
        <v>49</v>
      </c>
      <c r="G65" s="19" t="s">
        <v>295</v>
      </c>
      <c r="H65" s="19" t="n">
        <v>18</v>
      </c>
      <c r="I65" s="19" t="s">
        <v>649</v>
      </c>
      <c r="J65" s="19" t="s">
        <v>652</v>
      </c>
    </row>
    <row r="66" customFormat="false" ht="15" hidden="false" customHeight="true" outlineLevel="0" collapsed="false">
      <c r="B66" s="19" t="s">
        <v>714</v>
      </c>
      <c r="C66" s="19" t="s">
        <v>236</v>
      </c>
      <c r="D66" s="19" t="s">
        <v>237</v>
      </c>
      <c r="E66" s="19" t="s">
        <v>42</v>
      </c>
      <c r="F66" s="19" t="s">
        <v>43</v>
      </c>
      <c r="G66" s="19" t="s">
        <v>293</v>
      </c>
      <c r="H66" s="19" t="n">
        <v>14</v>
      </c>
      <c r="I66" s="19" t="s">
        <v>649</v>
      </c>
      <c r="J66" s="19" t="s">
        <v>652</v>
      </c>
    </row>
    <row r="67" customFormat="false" ht="15" hidden="false" customHeight="true" outlineLevel="0" collapsed="false">
      <c r="B67" s="19" t="s">
        <v>715</v>
      </c>
      <c r="C67" s="19" t="s">
        <v>267</v>
      </c>
      <c r="D67" s="19" t="s">
        <v>268</v>
      </c>
      <c r="E67" s="19" t="s">
        <v>66</v>
      </c>
      <c r="F67" s="19" t="s">
        <v>67</v>
      </c>
      <c r="G67" s="19" t="s">
        <v>289</v>
      </c>
      <c r="H67" s="19" t="n">
        <v>6</v>
      </c>
      <c r="I67" s="19" t="s">
        <v>654</v>
      </c>
      <c r="J67" s="19" t="s">
        <v>652</v>
      </c>
    </row>
    <row r="68" customFormat="false" ht="15" hidden="false" customHeight="true" outlineLevel="0" collapsed="false">
      <c r="B68" s="19" t="s">
        <v>716</v>
      </c>
      <c r="C68" s="19" t="s">
        <v>223</v>
      </c>
      <c r="D68" s="19" t="s">
        <v>224</v>
      </c>
      <c r="E68" s="19" t="s">
        <v>62</v>
      </c>
      <c r="F68" s="19" t="s">
        <v>63</v>
      </c>
      <c r="G68" s="19" t="s">
        <v>291</v>
      </c>
      <c r="H68" s="19" t="n">
        <v>7</v>
      </c>
      <c r="I68" s="19" t="s">
        <v>649</v>
      </c>
      <c r="J68" s="19" t="s">
        <v>652</v>
      </c>
    </row>
    <row r="69" customFormat="false" ht="15" hidden="false" customHeight="true" outlineLevel="0" collapsed="false">
      <c r="B69" s="19" t="s">
        <v>717</v>
      </c>
      <c r="C69" s="19" t="s">
        <v>231</v>
      </c>
      <c r="D69" s="19" t="s">
        <v>232</v>
      </c>
      <c r="E69" s="19" t="s">
        <v>53</v>
      </c>
      <c r="F69" s="19" t="s">
        <v>54</v>
      </c>
      <c r="G69" s="19" t="s">
        <v>283</v>
      </c>
      <c r="H69" s="19" t="n">
        <v>19</v>
      </c>
      <c r="I69" s="19" t="s">
        <v>649</v>
      </c>
      <c r="J69" s="19" t="s">
        <v>652</v>
      </c>
    </row>
    <row r="70" customFormat="false" ht="15" hidden="false" customHeight="true" outlineLevel="0" collapsed="false">
      <c r="B70" s="19" t="s">
        <v>718</v>
      </c>
      <c r="C70" s="19" t="s">
        <v>258</v>
      </c>
      <c r="D70" s="19" t="s">
        <v>259</v>
      </c>
      <c r="E70" s="19" t="s">
        <v>58</v>
      </c>
      <c r="F70" s="19" t="s">
        <v>59</v>
      </c>
      <c r="G70" s="19" t="s">
        <v>295</v>
      </c>
      <c r="H70" s="19" t="n">
        <v>31</v>
      </c>
      <c r="I70" s="19" t="s">
        <v>649</v>
      </c>
      <c r="J70" s="19" t="s">
        <v>652</v>
      </c>
    </row>
    <row r="71" customFormat="false" ht="15" hidden="false" customHeight="true" outlineLevel="0" collapsed="false">
      <c r="B71" s="19" t="s">
        <v>719</v>
      </c>
      <c r="C71" s="19" t="s">
        <v>233</v>
      </c>
      <c r="D71" s="19" t="s">
        <v>234</v>
      </c>
      <c r="E71" s="19" t="s">
        <v>62</v>
      </c>
      <c r="F71" s="19" t="s">
        <v>63</v>
      </c>
      <c r="G71" s="19" t="s">
        <v>300</v>
      </c>
      <c r="H71" s="19" t="n">
        <v>11</v>
      </c>
      <c r="I71" s="19" t="s">
        <v>649</v>
      </c>
      <c r="J71" s="19" t="s">
        <v>652</v>
      </c>
    </row>
    <row r="72" customFormat="false" ht="15" hidden="false" customHeight="true" outlineLevel="0" collapsed="false">
      <c r="B72" s="19" t="s">
        <v>720</v>
      </c>
      <c r="C72" s="19" t="s">
        <v>231</v>
      </c>
      <c r="D72" s="19" t="s">
        <v>232</v>
      </c>
      <c r="E72" s="19" t="s">
        <v>62</v>
      </c>
      <c r="F72" s="19" t="s">
        <v>63</v>
      </c>
      <c r="G72" s="19" t="s">
        <v>312</v>
      </c>
      <c r="H72" s="19" t="n">
        <v>18</v>
      </c>
      <c r="I72" s="19" t="s">
        <v>649</v>
      </c>
      <c r="J72" s="19" t="s">
        <v>652</v>
      </c>
    </row>
    <row r="73" customFormat="false" ht="15" hidden="false" customHeight="true" outlineLevel="0" collapsed="false">
      <c r="B73" s="19" t="s">
        <v>721</v>
      </c>
      <c r="C73" s="19" t="s">
        <v>233</v>
      </c>
      <c r="D73" s="19" t="s">
        <v>234</v>
      </c>
      <c r="E73" s="19" t="s">
        <v>66</v>
      </c>
      <c r="F73" s="19" t="s">
        <v>67</v>
      </c>
      <c r="G73" s="19" t="s">
        <v>309</v>
      </c>
      <c r="H73" s="19" t="n">
        <v>25</v>
      </c>
      <c r="I73" s="19" t="s">
        <v>649</v>
      </c>
      <c r="J73" s="19" t="s">
        <v>652</v>
      </c>
    </row>
    <row r="74" customFormat="false" ht="15" hidden="false" customHeight="true" outlineLevel="0" collapsed="false">
      <c r="B74" s="19" t="s">
        <v>722</v>
      </c>
      <c r="C74" s="19" t="s">
        <v>255</v>
      </c>
      <c r="D74" s="19" t="s">
        <v>256</v>
      </c>
      <c r="E74" s="19" t="s">
        <v>48</v>
      </c>
      <c r="F74" s="19" t="s">
        <v>49</v>
      </c>
      <c r="G74" s="19" t="s">
        <v>279</v>
      </c>
      <c r="H74" s="19" t="n">
        <v>18</v>
      </c>
      <c r="I74" s="19" t="s">
        <v>649</v>
      </c>
      <c r="J74" s="19" t="s">
        <v>652</v>
      </c>
    </row>
    <row r="75" customFormat="false" ht="15" hidden="false" customHeight="true" outlineLevel="0" collapsed="false">
      <c r="B75" s="19" t="s">
        <v>723</v>
      </c>
      <c r="C75" s="19" t="s">
        <v>231</v>
      </c>
      <c r="D75" s="19" t="s">
        <v>232</v>
      </c>
      <c r="E75" s="19" t="s">
        <v>53</v>
      </c>
      <c r="F75" s="19" t="s">
        <v>54</v>
      </c>
      <c r="G75" s="19" t="s">
        <v>285</v>
      </c>
      <c r="H75" s="19" t="n">
        <v>22</v>
      </c>
      <c r="I75" s="19" t="s">
        <v>649</v>
      </c>
      <c r="J75" s="19" t="s">
        <v>652</v>
      </c>
    </row>
    <row r="76" customFormat="false" ht="15" hidden="false" customHeight="true" outlineLevel="0" collapsed="false">
      <c r="B76" s="19" t="s">
        <v>724</v>
      </c>
      <c r="C76" s="19" t="s">
        <v>236</v>
      </c>
      <c r="D76" s="19" t="s">
        <v>237</v>
      </c>
      <c r="E76" s="19" t="s">
        <v>53</v>
      </c>
      <c r="F76" s="19" t="s">
        <v>54</v>
      </c>
      <c r="G76" s="19" t="s">
        <v>291</v>
      </c>
      <c r="H76" s="19" t="n">
        <v>10</v>
      </c>
      <c r="I76" s="19" t="s">
        <v>649</v>
      </c>
      <c r="J76" s="19" t="s">
        <v>652</v>
      </c>
    </row>
    <row r="77" customFormat="false" ht="15" hidden="false" customHeight="true" outlineLevel="0" collapsed="false">
      <c r="B77" s="19" t="s">
        <v>725</v>
      </c>
      <c r="C77" s="19" t="s">
        <v>249</v>
      </c>
      <c r="D77" s="19" t="s">
        <v>250</v>
      </c>
      <c r="E77" s="19" t="s">
        <v>66</v>
      </c>
      <c r="F77" s="19" t="s">
        <v>67</v>
      </c>
      <c r="G77" s="19" t="s">
        <v>291</v>
      </c>
      <c r="H77" s="19" t="n">
        <v>13</v>
      </c>
      <c r="I77" s="19" t="s">
        <v>649</v>
      </c>
      <c r="J77" s="19" t="s">
        <v>652</v>
      </c>
    </row>
    <row r="78" customFormat="false" ht="15" hidden="false" customHeight="true" outlineLevel="0" collapsed="false">
      <c r="B78" s="19" t="s">
        <v>726</v>
      </c>
      <c r="C78" s="19" t="s">
        <v>223</v>
      </c>
      <c r="D78" s="19" t="s">
        <v>224</v>
      </c>
      <c r="E78" s="19" t="s">
        <v>48</v>
      </c>
      <c r="F78" s="19" t="s">
        <v>49</v>
      </c>
      <c r="G78" s="19" t="s">
        <v>291</v>
      </c>
      <c r="H78" s="19" t="n">
        <v>10</v>
      </c>
      <c r="I78" s="19" t="s">
        <v>654</v>
      </c>
      <c r="J78" s="19" t="s">
        <v>652</v>
      </c>
    </row>
    <row r="79" customFormat="false" ht="15" hidden="false" customHeight="true" outlineLevel="0" collapsed="false">
      <c r="B79" s="19" t="s">
        <v>727</v>
      </c>
      <c r="C79" s="19" t="s">
        <v>223</v>
      </c>
      <c r="D79" s="19" t="s">
        <v>224</v>
      </c>
      <c r="E79" s="19" t="s">
        <v>58</v>
      </c>
      <c r="F79" s="19" t="s">
        <v>59</v>
      </c>
      <c r="G79" s="19" t="s">
        <v>293</v>
      </c>
      <c r="H79" s="19" t="n">
        <v>36</v>
      </c>
      <c r="I79" s="19" t="s">
        <v>649</v>
      </c>
      <c r="J79" s="19" t="s">
        <v>652</v>
      </c>
    </row>
    <row r="80" customFormat="false" ht="15" hidden="false" customHeight="true" outlineLevel="0" collapsed="false">
      <c r="B80" s="19" t="s">
        <v>728</v>
      </c>
      <c r="C80" s="19" t="s">
        <v>249</v>
      </c>
      <c r="D80" s="19" t="s">
        <v>250</v>
      </c>
      <c r="E80" s="19" t="s">
        <v>48</v>
      </c>
      <c r="F80" s="19" t="s">
        <v>49</v>
      </c>
      <c r="G80" s="19" t="s">
        <v>289</v>
      </c>
      <c r="H80" s="19" t="n">
        <v>13</v>
      </c>
      <c r="I80" s="19" t="s">
        <v>654</v>
      </c>
      <c r="J80" s="19" t="s">
        <v>652</v>
      </c>
    </row>
    <row r="81" customFormat="false" ht="15" hidden="false" customHeight="true" outlineLevel="0" collapsed="false">
      <c r="B81" s="19" t="s">
        <v>729</v>
      </c>
      <c r="C81" s="19" t="s">
        <v>261</v>
      </c>
      <c r="D81" s="19" t="s">
        <v>262</v>
      </c>
      <c r="E81" s="19" t="s">
        <v>42</v>
      </c>
      <c r="F81" s="19" t="s">
        <v>43</v>
      </c>
      <c r="G81" s="19" t="s">
        <v>300</v>
      </c>
      <c r="H81" s="19" t="n">
        <v>15</v>
      </c>
      <c r="I81" s="19" t="s">
        <v>649</v>
      </c>
      <c r="J81" s="19" t="s">
        <v>652</v>
      </c>
    </row>
    <row r="82" customFormat="false" ht="15" hidden="false" customHeight="true" outlineLevel="0" collapsed="false">
      <c r="B82" s="19" t="s">
        <v>730</v>
      </c>
      <c r="C82" s="19" t="s">
        <v>227</v>
      </c>
      <c r="D82" s="19" t="s">
        <v>228</v>
      </c>
      <c r="E82" s="19" t="s">
        <v>66</v>
      </c>
      <c r="F82" s="19" t="s">
        <v>67</v>
      </c>
      <c r="G82" s="19" t="s">
        <v>331</v>
      </c>
      <c r="H82" s="19" t="n">
        <v>17</v>
      </c>
      <c r="I82" s="19" t="s">
        <v>654</v>
      </c>
      <c r="J82" s="19" t="s">
        <v>652</v>
      </c>
    </row>
    <row r="83" customFormat="false" ht="15" hidden="false" customHeight="true" outlineLevel="0" collapsed="false">
      <c r="B83" s="19" t="s">
        <v>731</v>
      </c>
      <c r="C83" s="19" t="s">
        <v>242</v>
      </c>
      <c r="D83" s="19" t="s">
        <v>243</v>
      </c>
      <c r="E83" s="19" t="s">
        <v>58</v>
      </c>
      <c r="F83" s="19" t="s">
        <v>59</v>
      </c>
      <c r="G83" s="19" t="s">
        <v>283</v>
      </c>
      <c r="H83" s="19" t="n">
        <v>10</v>
      </c>
      <c r="I83" s="19" t="s">
        <v>649</v>
      </c>
      <c r="J83" s="19" t="s">
        <v>652</v>
      </c>
    </row>
    <row r="84" customFormat="false" ht="15" hidden="false" customHeight="true" outlineLevel="0" collapsed="false">
      <c r="B84" s="19" t="s">
        <v>732</v>
      </c>
      <c r="C84" s="19" t="s">
        <v>233</v>
      </c>
      <c r="D84" s="19" t="s">
        <v>234</v>
      </c>
      <c r="E84" s="19" t="s">
        <v>62</v>
      </c>
      <c r="F84" s="19" t="s">
        <v>63</v>
      </c>
      <c r="G84" s="19" t="s">
        <v>289</v>
      </c>
      <c r="H84" s="19" t="n">
        <v>17</v>
      </c>
      <c r="I84" s="19" t="s">
        <v>649</v>
      </c>
      <c r="J84" s="19" t="s">
        <v>652</v>
      </c>
    </row>
    <row r="85" customFormat="false" ht="15" hidden="false" customHeight="true" outlineLevel="0" collapsed="false">
      <c r="B85" s="19" t="s">
        <v>733</v>
      </c>
      <c r="C85" s="19" t="s">
        <v>249</v>
      </c>
      <c r="D85" s="19" t="s">
        <v>250</v>
      </c>
      <c r="E85" s="19" t="s">
        <v>66</v>
      </c>
      <c r="F85" s="19" t="s">
        <v>67</v>
      </c>
      <c r="G85" s="19" t="s">
        <v>283</v>
      </c>
      <c r="H85" s="19" t="n">
        <v>10</v>
      </c>
      <c r="I85" s="19" t="s">
        <v>654</v>
      </c>
      <c r="J85" s="19" t="s">
        <v>652</v>
      </c>
    </row>
    <row r="86" customFormat="false" ht="15" hidden="false" customHeight="true" outlineLevel="0" collapsed="false">
      <c r="B86" s="19" t="s">
        <v>734</v>
      </c>
      <c r="C86" s="19" t="s">
        <v>267</v>
      </c>
      <c r="D86" s="19" t="s">
        <v>268</v>
      </c>
      <c r="E86" s="19" t="s">
        <v>58</v>
      </c>
      <c r="F86" s="19" t="s">
        <v>59</v>
      </c>
      <c r="G86" s="19" t="s">
        <v>289</v>
      </c>
      <c r="H86" s="19" t="n">
        <v>6</v>
      </c>
      <c r="I86" s="19" t="s">
        <v>654</v>
      </c>
      <c r="J86" s="19" t="s">
        <v>652</v>
      </c>
    </row>
    <row r="87" customFormat="false" ht="15" hidden="false" customHeight="true" outlineLevel="0" collapsed="false">
      <c r="B87" s="19" t="s">
        <v>735</v>
      </c>
      <c r="C87" s="19" t="s">
        <v>236</v>
      </c>
      <c r="D87" s="19" t="s">
        <v>237</v>
      </c>
      <c r="E87" s="19" t="s">
        <v>42</v>
      </c>
      <c r="F87" s="19" t="s">
        <v>43</v>
      </c>
      <c r="G87" s="19" t="s">
        <v>300</v>
      </c>
      <c r="H87" s="19" t="n">
        <v>17</v>
      </c>
      <c r="I87" s="19" t="s">
        <v>649</v>
      </c>
      <c r="J87" s="19" t="s">
        <v>652</v>
      </c>
    </row>
    <row r="88" customFormat="false" ht="15" hidden="false" customHeight="true" outlineLevel="0" collapsed="false">
      <c r="B88" s="19" t="s">
        <v>736</v>
      </c>
      <c r="C88" s="19" t="s">
        <v>255</v>
      </c>
      <c r="D88" s="19" t="s">
        <v>256</v>
      </c>
      <c r="E88" s="19" t="s">
        <v>42</v>
      </c>
      <c r="F88" s="19" t="s">
        <v>43</v>
      </c>
      <c r="G88" s="19" t="s">
        <v>283</v>
      </c>
      <c r="H88" s="19" t="n">
        <v>11</v>
      </c>
      <c r="I88" s="19" t="s">
        <v>649</v>
      </c>
      <c r="J88" s="19" t="s">
        <v>652</v>
      </c>
    </row>
    <row r="89" customFormat="false" ht="15" hidden="false" customHeight="true" outlineLevel="0" collapsed="false">
      <c r="B89" s="19" t="s">
        <v>737</v>
      </c>
      <c r="C89" s="19" t="s">
        <v>242</v>
      </c>
      <c r="D89" s="19" t="s">
        <v>243</v>
      </c>
      <c r="E89" s="19" t="s">
        <v>58</v>
      </c>
      <c r="F89" s="19" t="s">
        <v>59</v>
      </c>
      <c r="G89" s="19" t="s">
        <v>331</v>
      </c>
      <c r="H89" s="19" t="n">
        <v>11</v>
      </c>
      <c r="I89" s="19" t="s">
        <v>649</v>
      </c>
      <c r="J89" s="19" t="s">
        <v>652</v>
      </c>
    </row>
    <row r="90" customFormat="false" ht="15" hidden="false" customHeight="true" outlineLevel="0" collapsed="false">
      <c r="B90" s="19" t="s">
        <v>738</v>
      </c>
      <c r="C90" s="19" t="s">
        <v>253</v>
      </c>
      <c r="D90" s="19" t="s">
        <v>254</v>
      </c>
      <c r="E90" s="19" t="s">
        <v>53</v>
      </c>
      <c r="F90" s="19" t="s">
        <v>54</v>
      </c>
      <c r="G90" s="19" t="s">
        <v>331</v>
      </c>
      <c r="H90" s="19" t="n">
        <v>31</v>
      </c>
      <c r="I90" s="19" t="s">
        <v>649</v>
      </c>
      <c r="J90" s="19" t="s">
        <v>652</v>
      </c>
    </row>
    <row r="91" customFormat="false" ht="15" hidden="false" customHeight="true" outlineLevel="0" collapsed="false">
      <c r="B91" s="19" t="s">
        <v>739</v>
      </c>
      <c r="C91" s="19" t="s">
        <v>242</v>
      </c>
      <c r="D91" s="19" t="s">
        <v>243</v>
      </c>
      <c r="E91" s="19" t="s">
        <v>42</v>
      </c>
      <c r="F91" s="19" t="s">
        <v>43</v>
      </c>
      <c r="G91" s="19" t="s">
        <v>331</v>
      </c>
      <c r="H91" s="19" t="n">
        <v>9</v>
      </c>
      <c r="I91" s="19" t="s">
        <v>649</v>
      </c>
      <c r="J91" s="19" t="s">
        <v>652</v>
      </c>
    </row>
    <row r="92" customFormat="false" ht="15" hidden="false" customHeight="true" outlineLevel="0" collapsed="false">
      <c r="B92" s="19" t="s">
        <v>740</v>
      </c>
      <c r="C92" s="19" t="s">
        <v>227</v>
      </c>
      <c r="D92" s="19" t="s">
        <v>228</v>
      </c>
      <c r="E92" s="19" t="s">
        <v>48</v>
      </c>
      <c r="F92" s="19" t="s">
        <v>49</v>
      </c>
      <c r="G92" s="19" t="s">
        <v>312</v>
      </c>
      <c r="H92" s="19" t="n">
        <v>21</v>
      </c>
      <c r="I92" s="19" t="s">
        <v>649</v>
      </c>
      <c r="J92" s="19" t="s">
        <v>652</v>
      </c>
    </row>
    <row r="93" customFormat="false" ht="15" hidden="false" customHeight="true" outlineLevel="0" collapsed="false">
      <c r="B93" s="19" t="s">
        <v>741</v>
      </c>
      <c r="C93" s="19" t="s">
        <v>258</v>
      </c>
      <c r="D93" s="19" t="s">
        <v>259</v>
      </c>
      <c r="E93" s="19" t="s">
        <v>42</v>
      </c>
      <c r="F93" s="19" t="s">
        <v>43</v>
      </c>
      <c r="G93" s="19" t="s">
        <v>285</v>
      </c>
      <c r="H93" s="19" t="n">
        <v>12</v>
      </c>
      <c r="I93" s="19" t="s">
        <v>649</v>
      </c>
      <c r="J93" s="19" t="s">
        <v>652</v>
      </c>
    </row>
    <row r="94" customFormat="false" ht="15" hidden="false" customHeight="true" outlineLevel="0" collapsed="false">
      <c r="B94" s="19" t="s">
        <v>742</v>
      </c>
      <c r="C94" s="19" t="s">
        <v>264</v>
      </c>
      <c r="D94" s="19" t="s">
        <v>265</v>
      </c>
      <c r="E94" s="19" t="s">
        <v>53</v>
      </c>
      <c r="F94" s="19" t="s">
        <v>54</v>
      </c>
      <c r="G94" s="19" t="s">
        <v>289</v>
      </c>
      <c r="H94" s="19" t="n">
        <v>14</v>
      </c>
      <c r="I94" s="19" t="s">
        <v>649</v>
      </c>
      <c r="J94" s="19" t="s">
        <v>652</v>
      </c>
    </row>
    <row r="95" customFormat="false" ht="15" hidden="false" customHeight="true" outlineLevel="0" collapsed="false">
      <c r="B95" s="19" t="s">
        <v>743</v>
      </c>
      <c r="C95" s="19" t="s">
        <v>249</v>
      </c>
      <c r="D95" s="19" t="s">
        <v>250</v>
      </c>
      <c r="E95" s="19" t="s">
        <v>62</v>
      </c>
      <c r="F95" s="19" t="s">
        <v>63</v>
      </c>
      <c r="G95" s="19" t="s">
        <v>285</v>
      </c>
      <c r="H95" s="19" t="n">
        <v>30</v>
      </c>
      <c r="I95" s="19" t="s">
        <v>649</v>
      </c>
      <c r="J95" s="19" t="s">
        <v>652</v>
      </c>
    </row>
    <row r="96" customFormat="false" ht="15" hidden="false" customHeight="true" outlineLevel="0" collapsed="false">
      <c r="B96" s="19" t="s">
        <v>744</v>
      </c>
      <c r="C96" s="19" t="s">
        <v>231</v>
      </c>
      <c r="D96" s="19" t="s">
        <v>232</v>
      </c>
      <c r="E96" s="19" t="s">
        <v>48</v>
      </c>
      <c r="F96" s="19" t="s">
        <v>49</v>
      </c>
      <c r="G96" s="19" t="s">
        <v>300</v>
      </c>
      <c r="H96" s="19" t="n">
        <v>10</v>
      </c>
      <c r="I96" s="19" t="s">
        <v>649</v>
      </c>
      <c r="J96" s="19" t="s">
        <v>652</v>
      </c>
    </row>
    <row r="97" customFormat="false" ht="15" hidden="false" customHeight="true" outlineLevel="0" collapsed="false">
      <c r="B97" s="19" t="s">
        <v>745</v>
      </c>
      <c r="C97" s="19" t="s">
        <v>258</v>
      </c>
      <c r="D97" s="19" t="s">
        <v>259</v>
      </c>
      <c r="E97" s="19" t="s">
        <v>66</v>
      </c>
      <c r="F97" s="19" t="s">
        <v>67</v>
      </c>
      <c r="G97" s="19" t="s">
        <v>293</v>
      </c>
      <c r="H97" s="19" t="n">
        <v>10</v>
      </c>
      <c r="I97" s="19" t="s">
        <v>649</v>
      </c>
      <c r="J97" s="19" t="s">
        <v>652</v>
      </c>
    </row>
    <row r="98" customFormat="false" ht="15" hidden="false" customHeight="true" outlineLevel="0" collapsed="false">
      <c r="B98" s="19" t="s">
        <v>746</v>
      </c>
      <c r="C98" s="19" t="s">
        <v>255</v>
      </c>
      <c r="D98" s="19" t="s">
        <v>256</v>
      </c>
      <c r="E98" s="19" t="s">
        <v>42</v>
      </c>
      <c r="F98" s="19" t="s">
        <v>43</v>
      </c>
      <c r="G98" s="19" t="s">
        <v>293</v>
      </c>
      <c r="H98" s="19" t="n">
        <v>20</v>
      </c>
      <c r="I98" s="19" t="s">
        <v>649</v>
      </c>
      <c r="J98" s="19" t="s">
        <v>652</v>
      </c>
    </row>
    <row r="99" customFormat="false" ht="15" hidden="false" customHeight="true" outlineLevel="0" collapsed="false">
      <c r="B99" s="19" t="s">
        <v>747</v>
      </c>
      <c r="C99" s="19" t="s">
        <v>223</v>
      </c>
      <c r="D99" s="19" t="s">
        <v>224</v>
      </c>
      <c r="E99" s="19" t="s">
        <v>58</v>
      </c>
      <c r="F99" s="19" t="s">
        <v>59</v>
      </c>
      <c r="G99" s="19" t="s">
        <v>279</v>
      </c>
      <c r="H99" s="19" t="n">
        <v>11</v>
      </c>
      <c r="I99" s="19" t="s">
        <v>649</v>
      </c>
      <c r="J99" s="19" t="s">
        <v>652</v>
      </c>
    </row>
    <row r="100" customFormat="false" ht="15" hidden="false" customHeight="true" outlineLevel="0" collapsed="false">
      <c r="B100" s="19" t="s">
        <v>748</v>
      </c>
      <c r="C100" s="19" t="s">
        <v>253</v>
      </c>
      <c r="D100" s="19" t="s">
        <v>254</v>
      </c>
      <c r="E100" s="19" t="s">
        <v>53</v>
      </c>
      <c r="F100" s="19" t="s">
        <v>54</v>
      </c>
      <c r="G100" s="19" t="s">
        <v>289</v>
      </c>
      <c r="H100" s="19" t="n">
        <v>12</v>
      </c>
      <c r="I100" s="19" t="s">
        <v>649</v>
      </c>
      <c r="J100" s="19" t="s">
        <v>652</v>
      </c>
    </row>
    <row r="101" customFormat="false" ht="15" hidden="false" customHeight="true" outlineLevel="0" collapsed="false">
      <c r="B101" s="19" t="s">
        <v>749</v>
      </c>
      <c r="C101" s="19" t="s">
        <v>255</v>
      </c>
      <c r="D101" s="19" t="s">
        <v>256</v>
      </c>
      <c r="E101" s="19" t="s">
        <v>58</v>
      </c>
      <c r="F101" s="19" t="s">
        <v>59</v>
      </c>
      <c r="G101" s="19" t="s">
        <v>300</v>
      </c>
      <c r="H101" s="19" t="n">
        <v>26</v>
      </c>
      <c r="I101" s="19" t="s">
        <v>649</v>
      </c>
      <c r="J101" s="19" t="s">
        <v>652</v>
      </c>
    </row>
    <row r="102" customFormat="false" ht="15" hidden="false" customHeight="true" outlineLevel="0" collapsed="false">
      <c r="B102" s="19" t="s">
        <v>750</v>
      </c>
      <c r="C102" s="19" t="s">
        <v>249</v>
      </c>
      <c r="D102" s="19" t="s">
        <v>250</v>
      </c>
      <c r="E102" s="19" t="s">
        <v>53</v>
      </c>
      <c r="F102" s="19" t="s">
        <v>54</v>
      </c>
      <c r="G102" s="19" t="s">
        <v>309</v>
      </c>
      <c r="H102" s="19" t="n">
        <v>18</v>
      </c>
      <c r="I102" s="19" t="s">
        <v>649</v>
      </c>
      <c r="J102" s="19" t="s">
        <v>652</v>
      </c>
    </row>
    <row r="103" customFormat="false" ht="15" hidden="false" customHeight="true" outlineLevel="0" collapsed="false">
      <c r="B103" s="19" t="s">
        <v>751</v>
      </c>
      <c r="C103" s="19" t="s">
        <v>264</v>
      </c>
      <c r="D103" s="19" t="s">
        <v>265</v>
      </c>
      <c r="E103" s="19" t="s">
        <v>66</v>
      </c>
      <c r="F103" s="19" t="s">
        <v>67</v>
      </c>
      <c r="G103" s="19" t="s">
        <v>279</v>
      </c>
      <c r="H103" s="19" t="n">
        <v>18</v>
      </c>
      <c r="I103" s="19" t="s">
        <v>649</v>
      </c>
      <c r="J103" s="19" t="s">
        <v>652</v>
      </c>
    </row>
    <row r="104" customFormat="false" ht="15" hidden="false" customHeight="true" outlineLevel="0" collapsed="false">
      <c r="B104" s="19" t="s">
        <v>752</v>
      </c>
      <c r="C104" s="19" t="s">
        <v>258</v>
      </c>
      <c r="D104" s="19" t="s">
        <v>259</v>
      </c>
      <c r="E104" s="19" t="s">
        <v>53</v>
      </c>
      <c r="F104" s="19" t="s">
        <v>54</v>
      </c>
      <c r="G104" s="19" t="s">
        <v>291</v>
      </c>
      <c r="H104" s="19" t="n">
        <v>14</v>
      </c>
      <c r="I104" s="19" t="s">
        <v>649</v>
      </c>
      <c r="J104" s="19" t="s">
        <v>652</v>
      </c>
    </row>
    <row r="105" customFormat="false" ht="15" hidden="false" customHeight="true" outlineLevel="0" collapsed="false">
      <c r="B105" s="19" t="s">
        <v>753</v>
      </c>
      <c r="C105" s="19" t="s">
        <v>231</v>
      </c>
      <c r="D105" s="19" t="s">
        <v>232</v>
      </c>
      <c r="E105" s="19" t="s">
        <v>53</v>
      </c>
      <c r="F105" s="19" t="s">
        <v>54</v>
      </c>
      <c r="G105" s="19" t="s">
        <v>279</v>
      </c>
      <c r="H105" s="19" t="n">
        <v>11</v>
      </c>
      <c r="I105" s="19" t="s">
        <v>649</v>
      </c>
      <c r="J105" s="19" t="s">
        <v>652</v>
      </c>
    </row>
    <row r="106" customFormat="false" ht="15" hidden="false" customHeight="true" outlineLevel="0" collapsed="false">
      <c r="B106" s="19" t="s">
        <v>754</v>
      </c>
      <c r="C106" s="19" t="s">
        <v>245</v>
      </c>
      <c r="D106" s="19" t="s">
        <v>246</v>
      </c>
      <c r="E106" s="19" t="s">
        <v>48</v>
      </c>
      <c r="F106" s="19" t="s">
        <v>49</v>
      </c>
      <c r="G106" s="19" t="s">
        <v>287</v>
      </c>
      <c r="H106" s="19" t="n">
        <v>18</v>
      </c>
      <c r="I106" s="19" t="s">
        <v>649</v>
      </c>
      <c r="J106" s="19" t="s">
        <v>652</v>
      </c>
    </row>
    <row r="107" customFormat="false" ht="15" hidden="false" customHeight="true" outlineLevel="0" collapsed="false">
      <c r="B107" s="19" t="s">
        <v>755</v>
      </c>
      <c r="C107" s="19" t="s">
        <v>233</v>
      </c>
      <c r="D107" s="19" t="s">
        <v>234</v>
      </c>
      <c r="E107" s="19" t="s">
        <v>66</v>
      </c>
      <c r="F107" s="19" t="s">
        <v>67</v>
      </c>
      <c r="G107" s="19" t="s">
        <v>285</v>
      </c>
      <c r="H107" s="19" t="n">
        <v>8</v>
      </c>
      <c r="I107" s="19" t="s">
        <v>654</v>
      </c>
      <c r="J107" s="19" t="s">
        <v>652</v>
      </c>
    </row>
    <row r="108" customFormat="false" ht="15" hidden="false" customHeight="true" outlineLevel="0" collapsed="false">
      <c r="B108" s="19" t="s">
        <v>756</v>
      </c>
      <c r="C108" s="19" t="s">
        <v>255</v>
      </c>
      <c r="D108" s="19" t="s">
        <v>256</v>
      </c>
      <c r="E108" s="19" t="s">
        <v>58</v>
      </c>
      <c r="F108" s="19" t="s">
        <v>59</v>
      </c>
      <c r="G108" s="19" t="s">
        <v>285</v>
      </c>
      <c r="H108" s="19" t="n">
        <v>16</v>
      </c>
      <c r="I108" s="19" t="s">
        <v>654</v>
      </c>
      <c r="J108" s="19" t="s">
        <v>652</v>
      </c>
    </row>
    <row r="109" customFormat="false" ht="15" hidden="false" customHeight="true" outlineLevel="0" collapsed="false">
      <c r="B109" s="19" t="s">
        <v>757</v>
      </c>
      <c r="C109" s="19" t="s">
        <v>249</v>
      </c>
      <c r="D109" s="19" t="s">
        <v>250</v>
      </c>
      <c r="E109" s="19" t="s">
        <v>42</v>
      </c>
      <c r="F109" s="19" t="s">
        <v>43</v>
      </c>
      <c r="G109" s="19" t="s">
        <v>293</v>
      </c>
      <c r="H109" s="19" t="n">
        <v>18</v>
      </c>
      <c r="I109" s="19" t="s">
        <v>649</v>
      </c>
      <c r="J109" s="19" t="s">
        <v>652</v>
      </c>
    </row>
    <row r="110" customFormat="false" ht="15" hidden="false" customHeight="true" outlineLevel="0" collapsed="false">
      <c r="B110" s="19" t="s">
        <v>758</v>
      </c>
      <c r="C110" s="19" t="s">
        <v>231</v>
      </c>
      <c r="D110" s="19" t="s">
        <v>232</v>
      </c>
      <c r="E110" s="19" t="s">
        <v>66</v>
      </c>
      <c r="F110" s="19" t="s">
        <v>67</v>
      </c>
      <c r="G110" s="19" t="s">
        <v>293</v>
      </c>
      <c r="H110" s="19" t="n">
        <v>16</v>
      </c>
      <c r="I110" s="19" t="s">
        <v>649</v>
      </c>
      <c r="J110" s="19" t="s">
        <v>652</v>
      </c>
    </row>
    <row r="111" customFormat="false" ht="15" hidden="false" customHeight="true" outlineLevel="0" collapsed="false">
      <c r="B111" s="19" t="s">
        <v>759</v>
      </c>
      <c r="C111" s="19" t="s">
        <v>258</v>
      </c>
      <c r="D111" s="19" t="s">
        <v>259</v>
      </c>
      <c r="E111" s="19" t="s">
        <v>58</v>
      </c>
      <c r="F111" s="19" t="s">
        <v>59</v>
      </c>
      <c r="G111" s="19" t="s">
        <v>291</v>
      </c>
      <c r="H111" s="19" t="n">
        <v>19</v>
      </c>
      <c r="I111" s="19" t="s">
        <v>649</v>
      </c>
      <c r="J111" s="19" t="s">
        <v>652</v>
      </c>
    </row>
    <row r="112" customFormat="false" ht="15" hidden="false" customHeight="true" outlineLevel="0" collapsed="false">
      <c r="B112" s="19" t="s">
        <v>760</v>
      </c>
      <c r="C112" s="19" t="s">
        <v>267</v>
      </c>
      <c r="D112" s="19" t="s">
        <v>268</v>
      </c>
      <c r="E112" s="19" t="s">
        <v>58</v>
      </c>
      <c r="F112" s="19" t="s">
        <v>59</v>
      </c>
      <c r="G112" s="19" t="s">
        <v>331</v>
      </c>
      <c r="H112" s="19" t="n">
        <v>6</v>
      </c>
      <c r="I112" s="19" t="s">
        <v>649</v>
      </c>
      <c r="J112" s="19" t="s">
        <v>652</v>
      </c>
    </row>
    <row r="113" customFormat="false" ht="15" hidden="false" customHeight="true" outlineLevel="0" collapsed="false">
      <c r="B113" s="19" t="s">
        <v>761</v>
      </c>
      <c r="C113" s="19" t="s">
        <v>231</v>
      </c>
      <c r="D113" s="19" t="s">
        <v>232</v>
      </c>
      <c r="E113" s="19" t="s">
        <v>42</v>
      </c>
      <c r="F113" s="19" t="s">
        <v>43</v>
      </c>
      <c r="G113" s="19" t="s">
        <v>283</v>
      </c>
      <c r="H113" s="19" t="n">
        <v>18</v>
      </c>
      <c r="I113" s="19" t="s">
        <v>649</v>
      </c>
      <c r="J113" s="19" t="s">
        <v>652</v>
      </c>
    </row>
    <row r="114" customFormat="false" ht="15" hidden="false" customHeight="true" outlineLevel="0" collapsed="false">
      <c r="B114" s="19" t="s">
        <v>762</v>
      </c>
      <c r="C114" s="19" t="s">
        <v>253</v>
      </c>
      <c r="D114" s="19" t="s">
        <v>254</v>
      </c>
      <c r="E114" s="19" t="s">
        <v>58</v>
      </c>
      <c r="F114" s="19" t="s">
        <v>59</v>
      </c>
      <c r="G114" s="19" t="s">
        <v>289</v>
      </c>
      <c r="H114" s="19" t="n">
        <v>14</v>
      </c>
      <c r="I114" s="19" t="s">
        <v>654</v>
      </c>
      <c r="J114" s="19" t="s">
        <v>652</v>
      </c>
    </row>
    <row r="115" customFormat="false" ht="15" hidden="false" customHeight="true" outlineLevel="0" collapsed="false">
      <c r="B115" s="19" t="s">
        <v>763</v>
      </c>
      <c r="C115" s="19" t="s">
        <v>242</v>
      </c>
      <c r="D115" s="19" t="s">
        <v>243</v>
      </c>
      <c r="E115" s="19" t="s">
        <v>58</v>
      </c>
      <c r="F115" s="19" t="s">
        <v>59</v>
      </c>
      <c r="G115" s="19" t="s">
        <v>287</v>
      </c>
      <c r="H115" s="19" t="n">
        <v>19</v>
      </c>
      <c r="I115" s="19" t="s">
        <v>649</v>
      </c>
      <c r="J115" s="19" t="s">
        <v>652</v>
      </c>
    </row>
    <row r="116" customFormat="false" ht="15" hidden="false" customHeight="true" outlineLevel="0" collapsed="false">
      <c r="B116" s="19" t="s">
        <v>764</v>
      </c>
      <c r="C116" s="19" t="s">
        <v>231</v>
      </c>
      <c r="D116" s="19" t="s">
        <v>232</v>
      </c>
      <c r="E116" s="19" t="s">
        <v>53</v>
      </c>
      <c r="F116" s="19" t="s">
        <v>54</v>
      </c>
      <c r="G116" s="19" t="s">
        <v>291</v>
      </c>
      <c r="H116" s="19" t="n">
        <v>21</v>
      </c>
      <c r="I116" s="19" t="s">
        <v>649</v>
      </c>
      <c r="J116" s="19" t="s">
        <v>652</v>
      </c>
    </row>
    <row r="117" customFormat="false" ht="15" hidden="false" customHeight="true" outlineLevel="0" collapsed="false">
      <c r="B117" s="19" t="s">
        <v>765</v>
      </c>
      <c r="C117" s="19" t="s">
        <v>267</v>
      </c>
      <c r="D117" s="19" t="s">
        <v>268</v>
      </c>
      <c r="E117" s="19" t="s">
        <v>62</v>
      </c>
      <c r="F117" s="19" t="s">
        <v>63</v>
      </c>
      <c r="G117" s="19" t="s">
        <v>289</v>
      </c>
      <c r="H117" s="19" t="n">
        <v>6</v>
      </c>
      <c r="I117" s="19" t="s">
        <v>649</v>
      </c>
      <c r="J117" s="19" t="s">
        <v>652</v>
      </c>
    </row>
    <row r="118" customFormat="false" ht="15" hidden="false" customHeight="true" outlineLevel="0" collapsed="false">
      <c r="B118" s="19" t="s">
        <v>766</v>
      </c>
      <c r="C118" s="19" t="s">
        <v>233</v>
      </c>
      <c r="D118" s="19" t="s">
        <v>234</v>
      </c>
      <c r="E118" s="19" t="s">
        <v>42</v>
      </c>
      <c r="F118" s="19" t="s">
        <v>43</v>
      </c>
      <c r="G118" s="19" t="s">
        <v>285</v>
      </c>
      <c r="H118" s="19" t="n">
        <v>11</v>
      </c>
      <c r="I118" s="19" t="s">
        <v>649</v>
      </c>
      <c r="J118" s="19" t="s">
        <v>652</v>
      </c>
    </row>
    <row r="119" customFormat="false" ht="15" hidden="false" customHeight="true" outlineLevel="0" collapsed="false">
      <c r="B119" s="19" t="s">
        <v>767</v>
      </c>
      <c r="C119" s="19" t="s">
        <v>245</v>
      </c>
      <c r="D119" s="19" t="s">
        <v>246</v>
      </c>
      <c r="E119" s="19" t="s">
        <v>42</v>
      </c>
      <c r="F119" s="19" t="s">
        <v>43</v>
      </c>
      <c r="G119" s="19" t="s">
        <v>312</v>
      </c>
      <c r="H119" s="19" t="n">
        <v>14</v>
      </c>
      <c r="I119" s="19" t="s">
        <v>649</v>
      </c>
      <c r="J119" s="19" t="s">
        <v>652</v>
      </c>
    </row>
    <row r="120" customFormat="false" ht="15" hidden="false" customHeight="true" outlineLevel="0" collapsed="false">
      <c r="B120" s="19" t="s">
        <v>768</v>
      </c>
      <c r="C120" s="19" t="s">
        <v>249</v>
      </c>
      <c r="D120" s="19" t="s">
        <v>250</v>
      </c>
      <c r="E120" s="19" t="s">
        <v>58</v>
      </c>
      <c r="F120" s="19" t="s">
        <v>59</v>
      </c>
      <c r="G120" s="19" t="s">
        <v>289</v>
      </c>
      <c r="H120" s="19" t="n">
        <v>11</v>
      </c>
      <c r="I120" s="19" t="s">
        <v>654</v>
      </c>
      <c r="J120" s="19" t="s">
        <v>652</v>
      </c>
    </row>
    <row r="121" customFormat="false" ht="15" hidden="false" customHeight="true" outlineLevel="0" collapsed="false">
      <c r="B121" s="19" t="s">
        <v>769</v>
      </c>
      <c r="C121" s="19" t="s">
        <v>255</v>
      </c>
      <c r="D121" s="19" t="s">
        <v>256</v>
      </c>
      <c r="E121" s="19" t="s">
        <v>53</v>
      </c>
      <c r="F121" s="19" t="s">
        <v>54</v>
      </c>
      <c r="G121" s="19" t="s">
        <v>293</v>
      </c>
      <c r="H121" s="19" t="n">
        <v>20</v>
      </c>
      <c r="I121" s="19" t="s">
        <v>649</v>
      </c>
      <c r="J121" s="19" t="s">
        <v>652</v>
      </c>
    </row>
    <row r="122" customFormat="false" ht="15" hidden="false" customHeight="true" outlineLevel="0" collapsed="false">
      <c r="B122" s="19" t="s">
        <v>770</v>
      </c>
      <c r="C122" s="19" t="s">
        <v>233</v>
      </c>
      <c r="D122" s="19" t="s">
        <v>234</v>
      </c>
      <c r="E122" s="19" t="s">
        <v>66</v>
      </c>
      <c r="F122" s="19" t="s">
        <v>67</v>
      </c>
      <c r="G122" s="19" t="s">
        <v>300</v>
      </c>
      <c r="H122" s="19" t="n">
        <v>15</v>
      </c>
      <c r="I122" s="19" t="s">
        <v>649</v>
      </c>
      <c r="J122" s="19" t="s">
        <v>652</v>
      </c>
    </row>
    <row r="123" customFormat="false" ht="15" hidden="false" customHeight="true" outlineLevel="0" collapsed="false">
      <c r="B123" s="19" t="s">
        <v>771</v>
      </c>
      <c r="C123" s="19" t="s">
        <v>255</v>
      </c>
      <c r="D123" s="19" t="s">
        <v>256</v>
      </c>
      <c r="E123" s="19" t="s">
        <v>42</v>
      </c>
      <c r="F123" s="19" t="s">
        <v>43</v>
      </c>
      <c r="G123" s="19" t="s">
        <v>279</v>
      </c>
      <c r="H123" s="19" t="n">
        <v>10</v>
      </c>
      <c r="I123" s="19" t="s">
        <v>649</v>
      </c>
      <c r="J123" s="19" t="s">
        <v>652</v>
      </c>
    </row>
    <row r="124" customFormat="false" ht="15" hidden="false" customHeight="true" outlineLevel="0" collapsed="false">
      <c r="B124" s="19" t="s">
        <v>772</v>
      </c>
      <c r="C124" s="19" t="s">
        <v>233</v>
      </c>
      <c r="D124" s="19" t="s">
        <v>234</v>
      </c>
      <c r="E124" s="19" t="s">
        <v>42</v>
      </c>
      <c r="F124" s="19" t="s">
        <v>43</v>
      </c>
      <c r="G124" s="19" t="s">
        <v>279</v>
      </c>
      <c r="H124" s="19" t="n">
        <v>42</v>
      </c>
      <c r="I124" s="19" t="s">
        <v>649</v>
      </c>
      <c r="J124" s="19" t="s">
        <v>652</v>
      </c>
    </row>
    <row r="125" customFormat="false" ht="15" hidden="false" customHeight="true" outlineLevel="0" collapsed="false">
      <c r="B125" s="19" t="s">
        <v>773</v>
      </c>
      <c r="C125" s="19" t="s">
        <v>253</v>
      </c>
      <c r="D125" s="19" t="s">
        <v>254</v>
      </c>
      <c r="E125" s="19" t="s">
        <v>42</v>
      </c>
      <c r="F125" s="19" t="s">
        <v>43</v>
      </c>
      <c r="G125" s="19" t="s">
        <v>285</v>
      </c>
      <c r="H125" s="19" t="n">
        <v>32</v>
      </c>
      <c r="I125" s="19" t="s">
        <v>649</v>
      </c>
      <c r="J125" s="19" t="s">
        <v>652</v>
      </c>
    </row>
    <row r="126" customFormat="false" ht="15" hidden="false" customHeight="true" outlineLevel="0" collapsed="false">
      <c r="B126" s="19" t="s">
        <v>774</v>
      </c>
      <c r="C126" s="19" t="s">
        <v>258</v>
      </c>
      <c r="D126" s="19" t="s">
        <v>259</v>
      </c>
      <c r="E126" s="19" t="s">
        <v>62</v>
      </c>
      <c r="F126" s="19" t="s">
        <v>63</v>
      </c>
      <c r="G126" s="19" t="s">
        <v>312</v>
      </c>
      <c r="H126" s="19" t="n">
        <v>16</v>
      </c>
      <c r="I126" s="19" t="s">
        <v>649</v>
      </c>
      <c r="J126" s="19" t="s">
        <v>652</v>
      </c>
    </row>
    <row r="127" customFormat="false" ht="15" hidden="false" customHeight="true" outlineLevel="0" collapsed="false">
      <c r="B127" s="19" t="s">
        <v>775</v>
      </c>
      <c r="C127" s="19" t="s">
        <v>258</v>
      </c>
      <c r="D127" s="19" t="s">
        <v>259</v>
      </c>
      <c r="E127" s="19" t="s">
        <v>53</v>
      </c>
      <c r="F127" s="19" t="s">
        <v>54</v>
      </c>
      <c r="G127" s="19" t="s">
        <v>309</v>
      </c>
      <c r="H127" s="19" t="n">
        <v>14</v>
      </c>
      <c r="I127" s="19" t="s">
        <v>649</v>
      </c>
      <c r="J127" s="19" t="s">
        <v>652</v>
      </c>
    </row>
    <row r="128" customFormat="false" ht="15" hidden="false" customHeight="true" outlineLevel="0" collapsed="false">
      <c r="B128" s="19" t="s">
        <v>776</v>
      </c>
      <c r="C128" s="19" t="s">
        <v>267</v>
      </c>
      <c r="D128" s="19" t="s">
        <v>268</v>
      </c>
      <c r="E128" s="19" t="s">
        <v>48</v>
      </c>
      <c r="F128" s="19" t="s">
        <v>49</v>
      </c>
      <c r="G128" s="19" t="s">
        <v>285</v>
      </c>
      <c r="H128" s="19" t="n">
        <v>22</v>
      </c>
      <c r="I128" s="19" t="s">
        <v>649</v>
      </c>
      <c r="J128" s="19" t="s">
        <v>652</v>
      </c>
    </row>
    <row r="129" customFormat="false" ht="15" hidden="false" customHeight="true" outlineLevel="0" collapsed="false">
      <c r="B129" s="19" t="s">
        <v>777</v>
      </c>
      <c r="C129" s="19" t="s">
        <v>249</v>
      </c>
      <c r="D129" s="19" t="s">
        <v>250</v>
      </c>
      <c r="E129" s="19" t="s">
        <v>48</v>
      </c>
      <c r="F129" s="19" t="s">
        <v>49</v>
      </c>
      <c r="G129" s="19" t="s">
        <v>283</v>
      </c>
      <c r="H129" s="19" t="n">
        <v>12</v>
      </c>
      <c r="I129" s="19" t="s">
        <v>649</v>
      </c>
      <c r="J129" s="19" t="s">
        <v>652</v>
      </c>
    </row>
    <row r="130" customFormat="false" ht="15" hidden="false" customHeight="true" outlineLevel="0" collapsed="false">
      <c r="B130" s="19" t="s">
        <v>778</v>
      </c>
      <c r="C130" s="19" t="s">
        <v>264</v>
      </c>
      <c r="D130" s="19" t="s">
        <v>265</v>
      </c>
      <c r="E130" s="19" t="s">
        <v>66</v>
      </c>
      <c r="F130" s="19" t="s">
        <v>67</v>
      </c>
      <c r="G130" s="19" t="s">
        <v>309</v>
      </c>
      <c r="H130" s="19" t="n">
        <v>18</v>
      </c>
      <c r="I130" s="19" t="s">
        <v>649</v>
      </c>
      <c r="J130" s="19" t="s">
        <v>652</v>
      </c>
    </row>
    <row r="131" customFormat="false" ht="15" hidden="false" customHeight="true" outlineLevel="0" collapsed="false">
      <c r="B131" s="19" t="s">
        <v>779</v>
      </c>
      <c r="C131" s="19" t="s">
        <v>227</v>
      </c>
      <c r="D131" s="19" t="s">
        <v>228</v>
      </c>
      <c r="E131" s="19" t="s">
        <v>58</v>
      </c>
      <c r="F131" s="19" t="s">
        <v>59</v>
      </c>
      <c r="G131" s="19" t="s">
        <v>300</v>
      </c>
      <c r="H131" s="19" t="n">
        <v>31</v>
      </c>
      <c r="I131" s="19" t="s">
        <v>649</v>
      </c>
      <c r="J131" s="19" t="s">
        <v>652</v>
      </c>
    </row>
    <row r="132" customFormat="false" ht="15" hidden="false" customHeight="true" outlineLevel="0" collapsed="false">
      <c r="B132" s="19" t="s">
        <v>780</v>
      </c>
      <c r="C132" s="19" t="s">
        <v>253</v>
      </c>
      <c r="D132" s="19" t="s">
        <v>254</v>
      </c>
      <c r="E132" s="19" t="s">
        <v>62</v>
      </c>
      <c r="F132" s="19" t="s">
        <v>63</v>
      </c>
      <c r="G132" s="19" t="s">
        <v>287</v>
      </c>
      <c r="H132" s="19" t="n">
        <v>33</v>
      </c>
      <c r="I132" s="19" t="s">
        <v>649</v>
      </c>
      <c r="J132" s="19" t="s">
        <v>652</v>
      </c>
    </row>
    <row r="133" customFormat="false" ht="15" hidden="false" customHeight="true" outlineLevel="0" collapsed="false">
      <c r="B133" s="19" t="s">
        <v>781</v>
      </c>
      <c r="C133" s="19" t="s">
        <v>261</v>
      </c>
      <c r="D133" s="19" t="s">
        <v>262</v>
      </c>
      <c r="E133" s="19" t="s">
        <v>42</v>
      </c>
      <c r="F133" s="19" t="s">
        <v>43</v>
      </c>
      <c r="G133" s="19" t="s">
        <v>291</v>
      </c>
      <c r="H133" s="19" t="n">
        <v>14</v>
      </c>
      <c r="I133" s="19" t="s">
        <v>649</v>
      </c>
      <c r="J133" s="19" t="s">
        <v>652</v>
      </c>
    </row>
    <row r="134" customFormat="false" ht="15" hidden="false" customHeight="true" outlineLevel="0" collapsed="false">
      <c r="B134" s="19" t="s">
        <v>782</v>
      </c>
      <c r="C134" s="19" t="s">
        <v>231</v>
      </c>
      <c r="D134" s="19" t="s">
        <v>232</v>
      </c>
      <c r="E134" s="19" t="s">
        <v>53</v>
      </c>
      <c r="F134" s="19" t="s">
        <v>54</v>
      </c>
      <c r="G134" s="19" t="s">
        <v>295</v>
      </c>
      <c r="H134" s="19" t="n">
        <v>13</v>
      </c>
      <c r="I134" s="19" t="s">
        <v>649</v>
      </c>
      <c r="J134" s="19" t="s">
        <v>652</v>
      </c>
    </row>
    <row r="135" customFormat="false" ht="15" hidden="false" customHeight="true" outlineLevel="0" collapsed="false">
      <c r="B135" s="19" t="s">
        <v>783</v>
      </c>
      <c r="C135" s="19" t="s">
        <v>245</v>
      </c>
      <c r="D135" s="19" t="s">
        <v>246</v>
      </c>
      <c r="E135" s="19" t="s">
        <v>42</v>
      </c>
      <c r="F135" s="19" t="s">
        <v>43</v>
      </c>
      <c r="G135" s="19" t="s">
        <v>289</v>
      </c>
      <c r="H135" s="19" t="n">
        <v>35</v>
      </c>
      <c r="I135" s="19" t="s">
        <v>649</v>
      </c>
      <c r="J135" s="19" t="s">
        <v>652</v>
      </c>
    </row>
    <row r="136" customFormat="false" ht="15" hidden="false" customHeight="true" outlineLevel="0" collapsed="false">
      <c r="B136" s="19" t="s">
        <v>784</v>
      </c>
      <c r="C136" s="19" t="s">
        <v>261</v>
      </c>
      <c r="D136" s="19" t="s">
        <v>262</v>
      </c>
      <c r="E136" s="19" t="s">
        <v>42</v>
      </c>
      <c r="F136" s="19" t="s">
        <v>43</v>
      </c>
      <c r="G136" s="19" t="s">
        <v>287</v>
      </c>
      <c r="H136" s="19" t="n">
        <v>12</v>
      </c>
      <c r="I136" s="19" t="s">
        <v>649</v>
      </c>
      <c r="J136" s="19" t="s">
        <v>652</v>
      </c>
    </row>
    <row r="137" customFormat="false" ht="15" hidden="false" customHeight="true" outlineLevel="0" collapsed="false">
      <c r="B137" s="19" t="s">
        <v>785</v>
      </c>
      <c r="C137" s="19" t="s">
        <v>227</v>
      </c>
      <c r="D137" s="19" t="s">
        <v>228</v>
      </c>
      <c r="E137" s="19" t="s">
        <v>53</v>
      </c>
      <c r="F137" s="19" t="s">
        <v>54</v>
      </c>
      <c r="G137" s="19" t="s">
        <v>309</v>
      </c>
      <c r="H137" s="19" t="n">
        <v>20</v>
      </c>
      <c r="I137" s="19" t="s">
        <v>649</v>
      </c>
      <c r="J137" s="19" t="s">
        <v>652</v>
      </c>
    </row>
    <row r="138" customFormat="false" ht="15" hidden="false" customHeight="true" outlineLevel="0" collapsed="false">
      <c r="B138" s="19" t="s">
        <v>786</v>
      </c>
      <c r="C138" s="19" t="s">
        <v>242</v>
      </c>
      <c r="D138" s="19" t="s">
        <v>243</v>
      </c>
      <c r="E138" s="19" t="s">
        <v>66</v>
      </c>
      <c r="F138" s="19" t="s">
        <v>67</v>
      </c>
      <c r="G138" s="19" t="s">
        <v>312</v>
      </c>
      <c r="H138" s="19" t="n">
        <v>8</v>
      </c>
      <c r="I138" s="19" t="s">
        <v>649</v>
      </c>
      <c r="J138" s="19" t="s">
        <v>652</v>
      </c>
    </row>
    <row r="139" customFormat="false" ht="15" hidden="false" customHeight="true" outlineLevel="0" collapsed="false">
      <c r="B139" s="19" t="s">
        <v>787</v>
      </c>
      <c r="C139" s="19" t="s">
        <v>233</v>
      </c>
      <c r="D139" s="19" t="s">
        <v>234</v>
      </c>
      <c r="E139" s="19" t="s">
        <v>66</v>
      </c>
      <c r="F139" s="19" t="s">
        <v>67</v>
      </c>
      <c r="G139" s="19" t="s">
        <v>312</v>
      </c>
      <c r="H139" s="19" t="n">
        <v>10</v>
      </c>
      <c r="I139" s="19" t="s">
        <v>649</v>
      </c>
      <c r="J139" s="19" t="s">
        <v>652</v>
      </c>
    </row>
    <row r="140" customFormat="false" ht="15" hidden="false" customHeight="true" outlineLevel="0" collapsed="false">
      <c r="B140" s="19" t="s">
        <v>788</v>
      </c>
      <c r="C140" s="19" t="s">
        <v>264</v>
      </c>
      <c r="D140" s="19" t="s">
        <v>265</v>
      </c>
      <c r="E140" s="19" t="s">
        <v>42</v>
      </c>
      <c r="F140" s="19" t="s">
        <v>43</v>
      </c>
      <c r="G140" s="19" t="s">
        <v>293</v>
      </c>
      <c r="H140" s="19" t="n">
        <v>19</v>
      </c>
      <c r="I140" s="19" t="s">
        <v>649</v>
      </c>
      <c r="J140" s="19" t="s">
        <v>652</v>
      </c>
    </row>
    <row r="141" customFormat="false" ht="15" hidden="false" customHeight="true" outlineLevel="0" collapsed="false">
      <c r="B141" s="19" t="s">
        <v>789</v>
      </c>
      <c r="C141" s="19" t="s">
        <v>231</v>
      </c>
      <c r="D141" s="19" t="s">
        <v>232</v>
      </c>
      <c r="E141" s="19" t="s">
        <v>48</v>
      </c>
      <c r="F141" s="19" t="s">
        <v>49</v>
      </c>
      <c r="G141" s="19" t="s">
        <v>331</v>
      </c>
      <c r="H141" s="19" t="n">
        <v>19</v>
      </c>
      <c r="I141" s="19" t="s">
        <v>649</v>
      </c>
      <c r="J141" s="19" t="s">
        <v>652</v>
      </c>
    </row>
    <row r="142" customFormat="false" ht="15" hidden="false" customHeight="true" outlineLevel="0" collapsed="false">
      <c r="B142" s="19" t="s">
        <v>790</v>
      </c>
      <c r="C142" s="19" t="s">
        <v>233</v>
      </c>
      <c r="D142" s="19" t="s">
        <v>234</v>
      </c>
      <c r="E142" s="19" t="s">
        <v>48</v>
      </c>
      <c r="F142" s="19" t="s">
        <v>49</v>
      </c>
      <c r="G142" s="19" t="s">
        <v>285</v>
      </c>
      <c r="H142" s="19" t="n">
        <v>10</v>
      </c>
      <c r="I142" s="19" t="s">
        <v>654</v>
      </c>
      <c r="J142" s="19" t="s">
        <v>652</v>
      </c>
    </row>
    <row r="143" customFormat="false" ht="15" hidden="false" customHeight="true" outlineLevel="0" collapsed="false">
      <c r="B143" s="19" t="s">
        <v>791</v>
      </c>
      <c r="C143" s="19" t="s">
        <v>258</v>
      </c>
      <c r="D143" s="19" t="s">
        <v>259</v>
      </c>
      <c r="E143" s="19" t="s">
        <v>53</v>
      </c>
      <c r="F143" s="19" t="s">
        <v>54</v>
      </c>
      <c r="G143" s="19" t="s">
        <v>289</v>
      </c>
      <c r="H143" s="19" t="n">
        <v>11</v>
      </c>
      <c r="I143" s="19" t="s">
        <v>649</v>
      </c>
      <c r="J143" s="19" t="s">
        <v>652</v>
      </c>
    </row>
    <row r="144" customFormat="false" ht="15" hidden="false" customHeight="true" outlineLevel="0" collapsed="false">
      <c r="B144" s="19" t="s">
        <v>792</v>
      </c>
      <c r="C144" s="19" t="s">
        <v>233</v>
      </c>
      <c r="D144" s="19" t="s">
        <v>234</v>
      </c>
      <c r="E144" s="19" t="s">
        <v>58</v>
      </c>
      <c r="F144" s="19" t="s">
        <v>59</v>
      </c>
      <c r="G144" s="19" t="s">
        <v>283</v>
      </c>
      <c r="H144" s="19" t="n">
        <v>16</v>
      </c>
      <c r="I144" s="19" t="s">
        <v>654</v>
      </c>
      <c r="J144" s="19" t="s">
        <v>652</v>
      </c>
    </row>
    <row r="145" customFormat="false" ht="15" hidden="false" customHeight="true" outlineLevel="0" collapsed="false">
      <c r="B145" s="19" t="s">
        <v>793</v>
      </c>
      <c r="C145" s="19" t="s">
        <v>267</v>
      </c>
      <c r="D145" s="19" t="s">
        <v>268</v>
      </c>
      <c r="E145" s="19" t="s">
        <v>58</v>
      </c>
      <c r="F145" s="19" t="s">
        <v>59</v>
      </c>
      <c r="G145" s="19" t="s">
        <v>279</v>
      </c>
      <c r="H145" s="19" t="n">
        <v>11</v>
      </c>
      <c r="I145" s="19" t="s">
        <v>649</v>
      </c>
      <c r="J145" s="19" t="s">
        <v>652</v>
      </c>
    </row>
    <row r="146" customFormat="false" ht="15" hidden="false" customHeight="true" outlineLevel="0" collapsed="false">
      <c r="B146" s="19" t="s">
        <v>794</v>
      </c>
      <c r="C146" s="19" t="s">
        <v>245</v>
      </c>
      <c r="D146" s="19" t="s">
        <v>246</v>
      </c>
      <c r="E146" s="19" t="s">
        <v>58</v>
      </c>
      <c r="F146" s="19" t="s">
        <v>59</v>
      </c>
      <c r="G146" s="19" t="s">
        <v>283</v>
      </c>
      <c r="H146" s="19" t="n">
        <v>18</v>
      </c>
      <c r="I146" s="19" t="s">
        <v>649</v>
      </c>
      <c r="J146" s="19" t="s">
        <v>652</v>
      </c>
    </row>
    <row r="147" customFormat="false" ht="15" hidden="false" customHeight="true" outlineLevel="0" collapsed="false">
      <c r="B147" s="19" t="s">
        <v>795</v>
      </c>
      <c r="C147" s="19" t="s">
        <v>249</v>
      </c>
      <c r="D147" s="19" t="s">
        <v>250</v>
      </c>
      <c r="E147" s="19" t="s">
        <v>53</v>
      </c>
      <c r="F147" s="19" t="s">
        <v>54</v>
      </c>
      <c r="G147" s="19" t="s">
        <v>295</v>
      </c>
      <c r="H147" s="19" t="n">
        <v>9</v>
      </c>
      <c r="I147" s="19" t="s">
        <v>649</v>
      </c>
      <c r="J147" s="19" t="s">
        <v>652</v>
      </c>
    </row>
    <row r="148" customFormat="false" ht="15" hidden="false" customHeight="true" outlineLevel="0" collapsed="false">
      <c r="B148" s="19" t="s">
        <v>796</v>
      </c>
      <c r="C148" s="19" t="s">
        <v>231</v>
      </c>
      <c r="D148" s="19" t="s">
        <v>232</v>
      </c>
      <c r="E148" s="19" t="s">
        <v>62</v>
      </c>
      <c r="F148" s="19" t="s">
        <v>63</v>
      </c>
      <c r="G148" s="19" t="s">
        <v>293</v>
      </c>
      <c r="H148" s="19" t="n">
        <v>18</v>
      </c>
      <c r="I148" s="19" t="s">
        <v>649</v>
      </c>
      <c r="J148" s="19" t="s">
        <v>652</v>
      </c>
    </row>
    <row r="149" customFormat="false" ht="15" hidden="false" customHeight="true" outlineLevel="0" collapsed="false">
      <c r="B149" s="19" t="s">
        <v>797</v>
      </c>
      <c r="C149" s="19" t="s">
        <v>264</v>
      </c>
      <c r="D149" s="19" t="s">
        <v>265</v>
      </c>
      <c r="E149" s="19" t="s">
        <v>42</v>
      </c>
      <c r="F149" s="19" t="s">
        <v>43</v>
      </c>
      <c r="G149" s="19" t="s">
        <v>331</v>
      </c>
      <c r="H149" s="19" t="n">
        <v>17</v>
      </c>
      <c r="I149" s="19" t="s">
        <v>649</v>
      </c>
      <c r="J149" s="19" t="s">
        <v>652</v>
      </c>
    </row>
    <row r="150" customFormat="false" ht="15" hidden="false" customHeight="true" outlineLevel="0" collapsed="false">
      <c r="B150" s="19" t="s">
        <v>798</v>
      </c>
      <c r="C150" s="19" t="s">
        <v>236</v>
      </c>
      <c r="D150" s="19" t="s">
        <v>237</v>
      </c>
      <c r="E150" s="19" t="s">
        <v>66</v>
      </c>
      <c r="F150" s="19" t="s">
        <v>67</v>
      </c>
      <c r="G150" s="19" t="s">
        <v>283</v>
      </c>
      <c r="H150" s="19" t="n">
        <v>19</v>
      </c>
      <c r="I150" s="19" t="s">
        <v>654</v>
      </c>
      <c r="J150" s="19" t="s">
        <v>652</v>
      </c>
    </row>
    <row r="151" customFormat="false" ht="15" hidden="false" customHeight="true" outlineLevel="0" collapsed="false">
      <c r="B151" s="19" t="s">
        <v>799</v>
      </c>
      <c r="C151" s="19" t="s">
        <v>233</v>
      </c>
      <c r="D151" s="19" t="s">
        <v>234</v>
      </c>
      <c r="E151" s="19" t="s">
        <v>66</v>
      </c>
      <c r="F151" s="19" t="s">
        <v>67</v>
      </c>
      <c r="G151" s="19" t="s">
        <v>293</v>
      </c>
      <c r="H151" s="19" t="n">
        <v>14</v>
      </c>
      <c r="I151" s="19" t="s">
        <v>649</v>
      </c>
      <c r="J151" s="19" t="s">
        <v>652</v>
      </c>
    </row>
    <row r="152" customFormat="false" ht="15" hidden="false" customHeight="true" outlineLevel="0" collapsed="false">
      <c r="B152" s="19" t="s">
        <v>800</v>
      </c>
      <c r="C152" s="19" t="s">
        <v>227</v>
      </c>
      <c r="D152" s="19" t="s">
        <v>228</v>
      </c>
      <c r="E152" s="19" t="s">
        <v>58</v>
      </c>
      <c r="F152" s="19" t="s">
        <v>59</v>
      </c>
      <c r="G152" s="19" t="s">
        <v>289</v>
      </c>
      <c r="H152" s="19" t="n">
        <v>11</v>
      </c>
      <c r="I152" s="19" t="s">
        <v>654</v>
      </c>
      <c r="J152" s="19" t="s">
        <v>652</v>
      </c>
    </row>
    <row r="153" customFormat="false" ht="15" hidden="false" customHeight="true" outlineLevel="0" collapsed="false">
      <c r="B153" s="19" t="s">
        <v>801</v>
      </c>
      <c r="C153" s="19" t="s">
        <v>231</v>
      </c>
      <c r="D153" s="19" t="s">
        <v>232</v>
      </c>
      <c r="E153" s="19" t="s">
        <v>66</v>
      </c>
      <c r="F153" s="19" t="s">
        <v>67</v>
      </c>
      <c r="G153" s="19" t="s">
        <v>283</v>
      </c>
      <c r="H153" s="19" t="n">
        <v>12</v>
      </c>
      <c r="I153" s="19" t="s">
        <v>649</v>
      </c>
      <c r="J153" s="19" t="s">
        <v>652</v>
      </c>
    </row>
    <row r="154" customFormat="false" ht="15" hidden="false" customHeight="true" outlineLevel="0" collapsed="false">
      <c r="B154" s="19" t="s">
        <v>802</v>
      </c>
      <c r="C154" s="19" t="s">
        <v>267</v>
      </c>
      <c r="D154" s="19" t="s">
        <v>268</v>
      </c>
      <c r="E154" s="19" t="s">
        <v>42</v>
      </c>
      <c r="F154" s="19" t="s">
        <v>43</v>
      </c>
      <c r="G154" s="19" t="s">
        <v>331</v>
      </c>
      <c r="H154" s="19" t="n">
        <v>7</v>
      </c>
      <c r="I154" s="19" t="s">
        <v>649</v>
      </c>
      <c r="J154" s="19" t="s">
        <v>652</v>
      </c>
    </row>
    <row r="155" customFormat="false" ht="15" hidden="false" customHeight="true" outlineLevel="0" collapsed="false">
      <c r="B155" s="19" t="s">
        <v>803</v>
      </c>
      <c r="C155" s="19" t="s">
        <v>267</v>
      </c>
      <c r="D155" s="19" t="s">
        <v>268</v>
      </c>
      <c r="E155" s="19" t="s">
        <v>53</v>
      </c>
      <c r="F155" s="19" t="s">
        <v>54</v>
      </c>
      <c r="G155" s="19" t="s">
        <v>287</v>
      </c>
      <c r="H155" s="19" t="n">
        <v>15</v>
      </c>
      <c r="I155" s="19" t="s">
        <v>649</v>
      </c>
      <c r="J155" s="19" t="s">
        <v>652</v>
      </c>
    </row>
    <row r="156" customFormat="false" ht="15" hidden="false" customHeight="true" outlineLevel="0" collapsed="false">
      <c r="B156" s="19" t="s">
        <v>804</v>
      </c>
      <c r="C156" s="19" t="s">
        <v>258</v>
      </c>
      <c r="D156" s="19" t="s">
        <v>259</v>
      </c>
      <c r="E156" s="19" t="s">
        <v>42</v>
      </c>
      <c r="F156" s="19" t="s">
        <v>43</v>
      </c>
      <c r="G156" s="19" t="s">
        <v>309</v>
      </c>
      <c r="H156" s="19" t="n">
        <v>18</v>
      </c>
      <c r="I156" s="19" t="s">
        <v>649</v>
      </c>
      <c r="J156" s="19" t="s">
        <v>652</v>
      </c>
    </row>
    <row r="157" customFormat="false" ht="15" hidden="false" customHeight="true" outlineLevel="0" collapsed="false">
      <c r="B157" s="19" t="s">
        <v>805</v>
      </c>
      <c r="C157" s="19" t="s">
        <v>223</v>
      </c>
      <c r="D157" s="19" t="s">
        <v>224</v>
      </c>
      <c r="E157" s="19" t="s">
        <v>58</v>
      </c>
      <c r="F157" s="19" t="s">
        <v>59</v>
      </c>
      <c r="G157" s="19" t="s">
        <v>287</v>
      </c>
      <c r="H157" s="19" t="n">
        <v>19</v>
      </c>
      <c r="I157" s="19" t="s">
        <v>654</v>
      </c>
      <c r="J157" s="19" t="s">
        <v>652</v>
      </c>
    </row>
    <row r="158" customFormat="false" ht="15" hidden="false" customHeight="true" outlineLevel="0" collapsed="false">
      <c r="B158" s="19" t="s">
        <v>806</v>
      </c>
      <c r="C158" s="19" t="s">
        <v>264</v>
      </c>
      <c r="D158" s="19" t="s">
        <v>265</v>
      </c>
      <c r="E158" s="19" t="s">
        <v>66</v>
      </c>
      <c r="F158" s="19" t="s">
        <v>67</v>
      </c>
      <c r="G158" s="19" t="s">
        <v>291</v>
      </c>
      <c r="H158" s="19" t="n">
        <v>7</v>
      </c>
      <c r="I158" s="19" t="s">
        <v>649</v>
      </c>
      <c r="J158" s="19" t="s">
        <v>652</v>
      </c>
    </row>
    <row r="159" customFormat="false" ht="15" hidden="false" customHeight="true" outlineLevel="0" collapsed="false">
      <c r="B159" s="19" t="s">
        <v>807</v>
      </c>
      <c r="C159" s="19" t="s">
        <v>245</v>
      </c>
      <c r="D159" s="19" t="s">
        <v>246</v>
      </c>
      <c r="E159" s="19" t="s">
        <v>53</v>
      </c>
      <c r="F159" s="19" t="s">
        <v>54</v>
      </c>
      <c r="G159" s="19" t="s">
        <v>312</v>
      </c>
      <c r="H159" s="19" t="n">
        <v>14</v>
      </c>
      <c r="I159" s="19" t="s">
        <v>649</v>
      </c>
      <c r="J159" s="19" t="s">
        <v>652</v>
      </c>
    </row>
    <row r="160" customFormat="false" ht="15" hidden="false" customHeight="true" outlineLevel="0" collapsed="false">
      <c r="B160" s="19" t="s">
        <v>808</v>
      </c>
      <c r="C160" s="19" t="s">
        <v>264</v>
      </c>
      <c r="D160" s="19" t="s">
        <v>265</v>
      </c>
      <c r="E160" s="19" t="s">
        <v>42</v>
      </c>
      <c r="F160" s="19" t="s">
        <v>43</v>
      </c>
      <c r="G160" s="19" t="s">
        <v>295</v>
      </c>
      <c r="H160" s="19" t="n">
        <v>24</v>
      </c>
      <c r="I160" s="19" t="s">
        <v>649</v>
      </c>
      <c r="J160" s="19" t="s">
        <v>652</v>
      </c>
    </row>
    <row r="161" customFormat="false" ht="15" hidden="false" customHeight="true" outlineLevel="0" collapsed="false">
      <c r="B161" s="19" t="s">
        <v>809</v>
      </c>
      <c r="C161" s="19" t="s">
        <v>245</v>
      </c>
      <c r="D161" s="19" t="s">
        <v>246</v>
      </c>
      <c r="E161" s="19" t="s">
        <v>58</v>
      </c>
      <c r="F161" s="19" t="s">
        <v>59</v>
      </c>
      <c r="G161" s="19" t="s">
        <v>293</v>
      </c>
      <c r="H161" s="19" t="n">
        <v>25</v>
      </c>
      <c r="I161" s="19" t="s">
        <v>649</v>
      </c>
      <c r="J161" s="19" t="s">
        <v>652</v>
      </c>
    </row>
    <row r="162" customFormat="false" ht="15" hidden="false" customHeight="true" outlineLevel="0" collapsed="false">
      <c r="B162" s="19" t="s">
        <v>810</v>
      </c>
      <c r="C162" s="19" t="s">
        <v>253</v>
      </c>
      <c r="D162" s="19" t="s">
        <v>254</v>
      </c>
      <c r="E162" s="19" t="s">
        <v>58</v>
      </c>
      <c r="F162" s="19" t="s">
        <v>59</v>
      </c>
      <c r="G162" s="19" t="s">
        <v>309</v>
      </c>
      <c r="H162" s="19" t="n">
        <v>23</v>
      </c>
      <c r="I162" s="19" t="s">
        <v>654</v>
      </c>
      <c r="J162" s="19" t="s">
        <v>652</v>
      </c>
    </row>
    <row r="163" customFormat="false" ht="15" hidden="false" customHeight="true" outlineLevel="0" collapsed="false">
      <c r="B163" s="19" t="s">
        <v>811</v>
      </c>
      <c r="C163" s="19" t="s">
        <v>261</v>
      </c>
      <c r="D163" s="19" t="s">
        <v>262</v>
      </c>
      <c r="E163" s="19" t="s">
        <v>62</v>
      </c>
      <c r="F163" s="19" t="s">
        <v>63</v>
      </c>
      <c r="G163" s="19" t="s">
        <v>291</v>
      </c>
      <c r="H163" s="19" t="n">
        <v>13</v>
      </c>
      <c r="I163" s="19" t="s">
        <v>649</v>
      </c>
      <c r="J163" s="19" t="s">
        <v>652</v>
      </c>
    </row>
    <row r="164" customFormat="false" ht="15" hidden="false" customHeight="true" outlineLevel="0" collapsed="false">
      <c r="B164" s="19" t="s">
        <v>812</v>
      </c>
      <c r="C164" s="19" t="s">
        <v>242</v>
      </c>
      <c r="D164" s="19" t="s">
        <v>243</v>
      </c>
      <c r="E164" s="19" t="s">
        <v>66</v>
      </c>
      <c r="F164" s="19" t="s">
        <v>67</v>
      </c>
      <c r="G164" s="19" t="s">
        <v>309</v>
      </c>
      <c r="H164" s="19" t="n">
        <v>14</v>
      </c>
      <c r="I164" s="19" t="s">
        <v>654</v>
      </c>
      <c r="J164" s="19" t="s">
        <v>652</v>
      </c>
    </row>
    <row r="165" customFormat="false" ht="15" hidden="false" customHeight="true" outlineLevel="0" collapsed="false">
      <c r="B165" s="19" t="s">
        <v>813</v>
      </c>
      <c r="C165" s="19" t="s">
        <v>258</v>
      </c>
      <c r="D165" s="19" t="s">
        <v>259</v>
      </c>
      <c r="E165" s="19" t="s">
        <v>66</v>
      </c>
      <c r="F165" s="19" t="s">
        <v>67</v>
      </c>
      <c r="G165" s="19" t="s">
        <v>279</v>
      </c>
      <c r="H165" s="19" t="n">
        <v>34</v>
      </c>
      <c r="I165" s="19" t="s">
        <v>654</v>
      </c>
      <c r="J165" s="19" t="s">
        <v>652</v>
      </c>
    </row>
    <row r="166" customFormat="false" ht="15" hidden="false" customHeight="true" outlineLevel="0" collapsed="false">
      <c r="B166" s="19" t="s">
        <v>814</v>
      </c>
      <c r="C166" s="19" t="s">
        <v>267</v>
      </c>
      <c r="D166" s="19" t="s">
        <v>268</v>
      </c>
      <c r="E166" s="19" t="s">
        <v>53</v>
      </c>
      <c r="F166" s="19" t="s">
        <v>54</v>
      </c>
      <c r="G166" s="19" t="s">
        <v>300</v>
      </c>
      <c r="H166" s="19" t="n">
        <v>9</v>
      </c>
      <c r="I166" s="19" t="s">
        <v>649</v>
      </c>
      <c r="J166" s="19" t="s">
        <v>652</v>
      </c>
    </row>
    <row r="167" customFormat="false" ht="15" hidden="false" customHeight="true" outlineLevel="0" collapsed="false">
      <c r="B167" s="19" t="s">
        <v>815</v>
      </c>
      <c r="C167" s="19" t="s">
        <v>242</v>
      </c>
      <c r="D167" s="19" t="s">
        <v>243</v>
      </c>
      <c r="E167" s="19" t="s">
        <v>66</v>
      </c>
      <c r="F167" s="19" t="s">
        <v>67</v>
      </c>
      <c r="G167" s="19" t="s">
        <v>291</v>
      </c>
      <c r="H167" s="19" t="n">
        <v>30</v>
      </c>
      <c r="I167" s="19" t="s">
        <v>654</v>
      </c>
      <c r="J167" s="19" t="s">
        <v>652</v>
      </c>
    </row>
    <row r="168" customFormat="false" ht="15" hidden="false" customHeight="true" outlineLevel="0" collapsed="false">
      <c r="B168" s="19" t="s">
        <v>816</v>
      </c>
      <c r="C168" s="19" t="s">
        <v>231</v>
      </c>
      <c r="D168" s="19" t="s">
        <v>232</v>
      </c>
      <c r="E168" s="19" t="s">
        <v>58</v>
      </c>
      <c r="F168" s="19" t="s">
        <v>59</v>
      </c>
      <c r="G168" s="19" t="s">
        <v>309</v>
      </c>
      <c r="H168" s="19" t="n">
        <v>15</v>
      </c>
      <c r="I168" s="19" t="s">
        <v>649</v>
      </c>
      <c r="J168" s="19" t="s">
        <v>652</v>
      </c>
    </row>
    <row r="169" customFormat="false" ht="15" hidden="false" customHeight="true" outlineLevel="0" collapsed="false">
      <c r="B169" s="19" t="s">
        <v>817</v>
      </c>
      <c r="C169" s="19" t="s">
        <v>233</v>
      </c>
      <c r="D169" s="19" t="s">
        <v>234</v>
      </c>
      <c r="E169" s="19" t="s">
        <v>48</v>
      </c>
      <c r="F169" s="19" t="s">
        <v>49</v>
      </c>
      <c r="G169" s="19" t="s">
        <v>331</v>
      </c>
      <c r="H169" s="19" t="n">
        <v>15</v>
      </c>
      <c r="I169" s="19" t="s">
        <v>654</v>
      </c>
      <c r="J169" s="19" t="s">
        <v>652</v>
      </c>
    </row>
    <row r="170" customFormat="false" ht="15" hidden="false" customHeight="true" outlineLevel="0" collapsed="false">
      <c r="B170" s="19" t="s">
        <v>818</v>
      </c>
      <c r="C170" s="19" t="s">
        <v>258</v>
      </c>
      <c r="D170" s="19" t="s">
        <v>259</v>
      </c>
      <c r="E170" s="19" t="s">
        <v>48</v>
      </c>
      <c r="F170" s="19" t="s">
        <v>49</v>
      </c>
      <c r="G170" s="19" t="s">
        <v>283</v>
      </c>
      <c r="H170" s="19" t="n">
        <v>13</v>
      </c>
      <c r="I170" s="19" t="s">
        <v>649</v>
      </c>
      <c r="J170" s="19" t="s">
        <v>652</v>
      </c>
    </row>
    <row r="171" customFormat="false" ht="15" hidden="false" customHeight="true" outlineLevel="0" collapsed="false">
      <c r="B171" s="19" t="s">
        <v>819</v>
      </c>
      <c r="C171" s="19" t="s">
        <v>238</v>
      </c>
      <c r="D171" s="19" t="s">
        <v>239</v>
      </c>
      <c r="E171" s="19" t="s">
        <v>48</v>
      </c>
      <c r="F171" s="19" t="s">
        <v>49</v>
      </c>
      <c r="G171" s="19" t="s">
        <v>300</v>
      </c>
      <c r="H171" s="19" t="n">
        <v>23</v>
      </c>
      <c r="I171" s="19" t="s">
        <v>649</v>
      </c>
      <c r="J171" s="19" t="s">
        <v>652</v>
      </c>
    </row>
    <row r="172" customFormat="false" ht="15" hidden="false" customHeight="true" outlineLevel="0" collapsed="false">
      <c r="B172" s="19" t="s">
        <v>820</v>
      </c>
      <c r="C172" s="19" t="s">
        <v>223</v>
      </c>
      <c r="D172" s="19" t="s">
        <v>224</v>
      </c>
      <c r="E172" s="19" t="s">
        <v>53</v>
      </c>
      <c r="F172" s="19" t="s">
        <v>54</v>
      </c>
      <c r="G172" s="19" t="s">
        <v>331</v>
      </c>
      <c r="H172" s="19" t="n">
        <v>18</v>
      </c>
      <c r="I172" s="19" t="s">
        <v>649</v>
      </c>
      <c r="J172" s="19" t="s">
        <v>652</v>
      </c>
    </row>
    <row r="173" customFormat="false" ht="15" hidden="false" customHeight="true" outlineLevel="0" collapsed="false">
      <c r="B173" s="19" t="s">
        <v>821</v>
      </c>
      <c r="C173" s="19" t="s">
        <v>227</v>
      </c>
      <c r="D173" s="19" t="s">
        <v>228</v>
      </c>
      <c r="E173" s="19" t="s">
        <v>48</v>
      </c>
      <c r="F173" s="19" t="s">
        <v>49</v>
      </c>
      <c r="G173" s="19" t="s">
        <v>295</v>
      </c>
      <c r="H173" s="19" t="n">
        <v>11</v>
      </c>
      <c r="I173" s="19" t="s">
        <v>649</v>
      </c>
      <c r="J173" s="19" t="s">
        <v>652</v>
      </c>
    </row>
    <row r="174" customFormat="false" ht="15" hidden="false" customHeight="true" outlineLevel="0" collapsed="false">
      <c r="B174" s="19" t="s">
        <v>822</v>
      </c>
      <c r="C174" s="19" t="s">
        <v>242</v>
      </c>
      <c r="D174" s="19" t="s">
        <v>243</v>
      </c>
      <c r="E174" s="19" t="s">
        <v>42</v>
      </c>
      <c r="F174" s="19" t="s">
        <v>43</v>
      </c>
      <c r="G174" s="19" t="s">
        <v>295</v>
      </c>
      <c r="H174" s="19" t="n">
        <v>15</v>
      </c>
      <c r="I174" s="19" t="s">
        <v>649</v>
      </c>
      <c r="J174" s="19" t="s">
        <v>652</v>
      </c>
    </row>
    <row r="175" customFormat="false" ht="15" hidden="false" customHeight="true" outlineLevel="0" collapsed="false">
      <c r="B175" s="19" t="s">
        <v>823</v>
      </c>
      <c r="C175" s="19" t="s">
        <v>253</v>
      </c>
      <c r="D175" s="19" t="s">
        <v>254</v>
      </c>
      <c r="E175" s="19" t="s">
        <v>42</v>
      </c>
      <c r="F175" s="19" t="s">
        <v>43</v>
      </c>
      <c r="G175" s="19" t="s">
        <v>295</v>
      </c>
      <c r="H175" s="19" t="n">
        <v>14</v>
      </c>
      <c r="I175" s="19" t="s">
        <v>649</v>
      </c>
      <c r="J175" s="19" t="s">
        <v>652</v>
      </c>
    </row>
    <row r="176" customFormat="false" ht="15" hidden="false" customHeight="true" outlineLevel="0" collapsed="false">
      <c r="B176" s="19" t="s">
        <v>824</v>
      </c>
      <c r="C176" s="19" t="s">
        <v>264</v>
      </c>
      <c r="D176" s="19" t="s">
        <v>265</v>
      </c>
      <c r="E176" s="19" t="s">
        <v>58</v>
      </c>
      <c r="F176" s="19" t="s">
        <v>59</v>
      </c>
      <c r="G176" s="19" t="s">
        <v>287</v>
      </c>
      <c r="H176" s="19" t="n">
        <v>9</v>
      </c>
      <c r="I176" s="19" t="s">
        <v>649</v>
      </c>
      <c r="J176" s="19" t="s">
        <v>652</v>
      </c>
    </row>
    <row r="177" customFormat="false" ht="15" hidden="false" customHeight="true" outlineLevel="0" collapsed="false">
      <c r="B177" s="19" t="s">
        <v>825</v>
      </c>
      <c r="C177" s="19" t="s">
        <v>233</v>
      </c>
      <c r="D177" s="19" t="s">
        <v>234</v>
      </c>
      <c r="E177" s="19" t="s">
        <v>48</v>
      </c>
      <c r="F177" s="19" t="s">
        <v>49</v>
      </c>
      <c r="G177" s="19" t="s">
        <v>300</v>
      </c>
      <c r="H177" s="19" t="n">
        <v>10</v>
      </c>
      <c r="I177" s="19" t="s">
        <v>649</v>
      </c>
      <c r="J177" s="19" t="s">
        <v>652</v>
      </c>
    </row>
    <row r="178" customFormat="false" ht="15" hidden="false" customHeight="true" outlineLevel="0" collapsed="false">
      <c r="B178" s="19" t="s">
        <v>826</v>
      </c>
      <c r="C178" s="19" t="s">
        <v>245</v>
      </c>
      <c r="D178" s="19" t="s">
        <v>246</v>
      </c>
      <c r="E178" s="19" t="s">
        <v>53</v>
      </c>
      <c r="F178" s="19" t="s">
        <v>54</v>
      </c>
      <c r="G178" s="19" t="s">
        <v>295</v>
      </c>
      <c r="H178" s="19" t="n">
        <v>17</v>
      </c>
      <c r="I178" s="19" t="s">
        <v>649</v>
      </c>
      <c r="J178" s="19" t="s">
        <v>652</v>
      </c>
    </row>
    <row r="179" customFormat="false" ht="15" hidden="false" customHeight="true" outlineLevel="0" collapsed="false">
      <c r="B179" s="19" t="s">
        <v>827</v>
      </c>
      <c r="C179" s="19" t="s">
        <v>245</v>
      </c>
      <c r="D179" s="19" t="s">
        <v>246</v>
      </c>
      <c r="E179" s="19" t="s">
        <v>48</v>
      </c>
      <c r="F179" s="19" t="s">
        <v>49</v>
      </c>
      <c r="G179" s="19" t="s">
        <v>309</v>
      </c>
      <c r="H179" s="19" t="n">
        <v>13</v>
      </c>
      <c r="I179" s="19" t="s">
        <v>654</v>
      </c>
      <c r="J179" s="19" t="s">
        <v>652</v>
      </c>
    </row>
    <row r="180" customFormat="false" ht="15" hidden="false" customHeight="true" outlineLevel="0" collapsed="false">
      <c r="B180" s="19" t="s">
        <v>828</v>
      </c>
      <c r="C180" s="19" t="s">
        <v>223</v>
      </c>
      <c r="D180" s="19" t="s">
        <v>224</v>
      </c>
      <c r="E180" s="19" t="s">
        <v>62</v>
      </c>
      <c r="F180" s="19" t="s">
        <v>63</v>
      </c>
      <c r="G180" s="19" t="s">
        <v>331</v>
      </c>
      <c r="H180" s="19" t="n">
        <v>15</v>
      </c>
      <c r="I180" s="19" t="s">
        <v>649</v>
      </c>
      <c r="J180" s="19" t="s">
        <v>652</v>
      </c>
    </row>
    <row r="181" customFormat="false" ht="15" hidden="false" customHeight="true" outlineLevel="0" collapsed="false">
      <c r="B181" s="19" t="s">
        <v>829</v>
      </c>
      <c r="C181" s="19" t="s">
        <v>245</v>
      </c>
      <c r="D181" s="19" t="s">
        <v>246</v>
      </c>
      <c r="E181" s="19" t="s">
        <v>48</v>
      </c>
      <c r="F181" s="19" t="s">
        <v>49</v>
      </c>
      <c r="G181" s="19" t="s">
        <v>285</v>
      </c>
      <c r="H181" s="19" t="n">
        <v>14</v>
      </c>
      <c r="I181" s="19" t="s">
        <v>654</v>
      </c>
      <c r="J181" s="19" t="s">
        <v>652</v>
      </c>
    </row>
    <row r="182" customFormat="false" ht="15" hidden="false" customHeight="true" outlineLevel="0" collapsed="false">
      <c r="B182" s="19" t="s">
        <v>830</v>
      </c>
      <c r="C182" s="19" t="s">
        <v>255</v>
      </c>
      <c r="D182" s="19" t="s">
        <v>256</v>
      </c>
      <c r="E182" s="19" t="s">
        <v>62</v>
      </c>
      <c r="F182" s="19" t="s">
        <v>63</v>
      </c>
      <c r="G182" s="19" t="s">
        <v>283</v>
      </c>
      <c r="H182" s="19" t="n">
        <v>12</v>
      </c>
      <c r="I182" s="19" t="s">
        <v>649</v>
      </c>
      <c r="J182" s="19" t="s">
        <v>652</v>
      </c>
    </row>
    <row r="183" customFormat="false" ht="15" hidden="false" customHeight="true" outlineLevel="0" collapsed="false">
      <c r="B183" s="19" t="s">
        <v>831</v>
      </c>
      <c r="C183" s="19" t="s">
        <v>242</v>
      </c>
      <c r="D183" s="19" t="s">
        <v>243</v>
      </c>
      <c r="E183" s="19" t="s">
        <v>66</v>
      </c>
      <c r="F183" s="19" t="s">
        <v>67</v>
      </c>
      <c r="G183" s="19" t="s">
        <v>293</v>
      </c>
      <c r="H183" s="19" t="n">
        <v>31</v>
      </c>
      <c r="I183" s="19" t="s">
        <v>654</v>
      </c>
      <c r="J183" s="19" t="s">
        <v>652</v>
      </c>
    </row>
    <row r="184" customFormat="false" ht="15" hidden="false" customHeight="true" outlineLevel="0" collapsed="false">
      <c r="B184" s="19" t="s">
        <v>832</v>
      </c>
      <c r="C184" s="19" t="s">
        <v>238</v>
      </c>
      <c r="D184" s="19" t="s">
        <v>239</v>
      </c>
      <c r="E184" s="19" t="s">
        <v>48</v>
      </c>
      <c r="F184" s="19" t="s">
        <v>49</v>
      </c>
      <c r="G184" s="19" t="s">
        <v>331</v>
      </c>
      <c r="H184" s="19" t="n">
        <v>40</v>
      </c>
      <c r="I184" s="19" t="s">
        <v>649</v>
      </c>
      <c r="J184" s="19" t="s">
        <v>652</v>
      </c>
    </row>
    <row r="185" customFormat="false" ht="15" hidden="false" customHeight="true" outlineLevel="0" collapsed="false">
      <c r="B185" s="19" t="s">
        <v>833</v>
      </c>
      <c r="C185" s="19" t="s">
        <v>231</v>
      </c>
      <c r="D185" s="19" t="s">
        <v>232</v>
      </c>
      <c r="E185" s="19" t="s">
        <v>62</v>
      </c>
      <c r="F185" s="19" t="s">
        <v>63</v>
      </c>
      <c r="G185" s="19" t="s">
        <v>279</v>
      </c>
      <c r="H185" s="19" t="n">
        <v>11</v>
      </c>
      <c r="I185" s="19" t="s">
        <v>649</v>
      </c>
      <c r="J185" s="19" t="s">
        <v>652</v>
      </c>
    </row>
    <row r="186" customFormat="false" ht="15" hidden="false" customHeight="true" outlineLevel="0" collapsed="false">
      <c r="B186" s="19" t="s">
        <v>834</v>
      </c>
      <c r="C186" s="19" t="s">
        <v>264</v>
      </c>
      <c r="D186" s="19" t="s">
        <v>265</v>
      </c>
      <c r="E186" s="19" t="s">
        <v>53</v>
      </c>
      <c r="F186" s="19" t="s">
        <v>54</v>
      </c>
      <c r="G186" s="19" t="s">
        <v>309</v>
      </c>
      <c r="H186" s="19" t="n">
        <v>20</v>
      </c>
      <c r="I186" s="19" t="s">
        <v>649</v>
      </c>
      <c r="J186" s="19" t="s">
        <v>652</v>
      </c>
    </row>
    <row r="187" customFormat="false" ht="15" hidden="false" customHeight="true" outlineLevel="0" collapsed="false">
      <c r="B187" s="19" t="s">
        <v>835</v>
      </c>
      <c r="C187" s="19" t="s">
        <v>233</v>
      </c>
      <c r="D187" s="19" t="s">
        <v>234</v>
      </c>
      <c r="E187" s="19" t="s">
        <v>48</v>
      </c>
      <c r="F187" s="19" t="s">
        <v>49</v>
      </c>
      <c r="G187" s="19" t="s">
        <v>291</v>
      </c>
      <c r="H187" s="19" t="n">
        <v>19</v>
      </c>
      <c r="I187" s="19" t="s">
        <v>649</v>
      </c>
      <c r="J187" s="19" t="s">
        <v>652</v>
      </c>
    </row>
    <row r="188" customFormat="false" ht="15" hidden="false" customHeight="true" outlineLevel="0" collapsed="false">
      <c r="B188" s="19" t="s">
        <v>836</v>
      </c>
      <c r="C188" s="19" t="s">
        <v>227</v>
      </c>
      <c r="D188" s="19" t="s">
        <v>228</v>
      </c>
      <c r="E188" s="19" t="s">
        <v>66</v>
      </c>
      <c r="F188" s="19" t="s">
        <v>67</v>
      </c>
      <c r="G188" s="19" t="s">
        <v>283</v>
      </c>
      <c r="H188" s="19" t="n">
        <v>26</v>
      </c>
      <c r="I188" s="19" t="s">
        <v>654</v>
      </c>
      <c r="J188" s="19" t="s">
        <v>652</v>
      </c>
    </row>
    <row r="189" customFormat="false" ht="15" hidden="false" customHeight="true" outlineLevel="0" collapsed="false">
      <c r="B189" s="19" t="s">
        <v>837</v>
      </c>
      <c r="C189" s="19" t="s">
        <v>255</v>
      </c>
      <c r="D189" s="19" t="s">
        <v>256</v>
      </c>
      <c r="E189" s="19" t="s">
        <v>66</v>
      </c>
      <c r="F189" s="19" t="s">
        <v>67</v>
      </c>
      <c r="G189" s="19" t="s">
        <v>312</v>
      </c>
      <c r="H189" s="19" t="n">
        <v>16</v>
      </c>
      <c r="I189" s="19" t="s">
        <v>654</v>
      </c>
      <c r="J189" s="19" t="s">
        <v>652</v>
      </c>
    </row>
    <row r="190" customFormat="false" ht="15" hidden="false" customHeight="true" outlineLevel="0" collapsed="false">
      <c r="B190" s="19" t="s">
        <v>838</v>
      </c>
      <c r="C190" s="19" t="s">
        <v>253</v>
      </c>
      <c r="D190" s="19" t="s">
        <v>254</v>
      </c>
      <c r="E190" s="19" t="s">
        <v>48</v>
      </c>
      <c r="F190" s="19" t="s">
        <v>49</v>
      </c>
      <c r="G190" s="19" t="s">
        <v>283</v>
      </c>
      <c r="H190" s="19" t="n">
        <v>22</v>
      </c>
      <c r="I190" s="19" t="s">
        <v>649</v>
      </c>
      <c r="J190" s="19" t="s">
        <v>652</v>
      </c>
    </row>
    <row r="191" customFormat="false" ht="15" hidden="false" customHeight="true" outlineLevel="0" collapsed="false">
      <c r="B191" s="19" t="s">
        <v>839</v>
      </c>
      <c r="C191" s="19" t="s">
        <v>233</v>
      </c>
      <c r="D191" s="19" t="s">
        <v>234</v>
      </c>
      <c r="E191" s="19" t="s">
        <v>48</v>
      </c>
      <c r="F191" s="19" t="s">
        <v>49</v>
      </c>
      <c r="G191" s="19" t="s">
        <v>293</v>
      </c>
      <c r="H191" s="19" t="n">
        <v>10</v>
      </c>
      <c r="I191" s="19" t="s">
        <v>654</v>
      </c>
      <c r="J191" s="19" t="s">
        <v>652</v>
      </c>
    </row>
    <row r="192" customFormat="false" ht="15" hidden="false" customHeight="true" outlineLevel="0" collapsed="false">
      <c r="B192" s="19" t="s">
        <v>840</v>
      </c>
      <c r="C192" s="19" t="s">
        <v>245</v>
      </c>
      <c r="D192" s="19" t="s">
        <v>246</v>
      </c>
      <c r="E192" s="19" t="s">
        <v>48</v>
      </c>
      <c r="F192" s="19" t="s">
        <v>49</v>
      </c>
      <c r="G192" s="19" t="s">
        <v>291</v>
      </c>
      <c r="H192" s="19" t="n">
        <v>12</v>
      </c>
      <c r="I192" s="19" t="s">
        <v>654</v>
      </c>
      <c r="J192" s="19" t="s">
        <v>652</v>
      </c>
    </row>
    <row r="193" customFormat="false" ht="15" hidden="false" customHeight="true" outlineLevel="0" collapsed="false">
      <c r="B193" s="19" t="s">
        <v>841</v>
      </c>
      <c r="C193" s="19" t="s">
        <v>236</v>
      </c>
      <c r="D193" s="19" t="s">
        <v>237</v>
      </c>
      <c r="E193" s="19" t="s">
        <v>62</v>
      </c>
      <c r="F193" s="19" t="s">
        <v>63</v>
      </c>
      <c r="G193" s="19" t="s">
        <v>295</v>
      </c>
      <c r="H193" s="19" t="n">
        <v>20</v>
      </c>
      <c r="I193" s="19" t="s">
        <v>649</v>
      </c>
      <c r="J193" s="19" t="s">
        <v>652</v>
      </c>
    </row>
    <row r="194" customFormat="false" ht="15" hidden="false" customHeight="true" outlineLevel="0" collapsed="false">
      <c r="B194" s="19" t="s">
        <v>842</v>
      </c>
      <c r="C194" s="19" t="s">
        <v>245</v>
      </c>
      <c r="D194" s="19" t="s">
        <v>246</v>
      </c>
      <c r="E194" s="19" t="s">
        <v>58</v>
      </c>
      <c r="F194" s="19" t="s">
        <v>59</v>
      </c>
      <c r="G194" s="19" t="s">
        <v>309</v>
      </c>
      <c r="H194" s="19" t="n">
        <v>17</v>
      </c>
      <c r="I194" s="19" t="s">
        <v>649</v>
      </c>
      <c r="J194" s="19" t="s">
        <v>652</v>
      </c>
    </row>
    <row r="195" customFormat="false" ht="15" hidden="false" customHeight="true" outlineLevel="0" collapsed="false">
      <c r="B195" s="19" t="s">
        <v>843</v>
      </c>
      <c r="C195" s="19" t="s">
        <v>261</v>
      </c>
      <c r="D195" s="19" t="s">
        <v>262</v>
      </c>
      <c r="E195" s="19" t="s">
        <v>58</v>
      </c>
      <c r="F195" s="19" t="s">
        <v>59</v>
      </c>
      <c r="G195" s="19" t="s">
        <v>291</v>
      </c>
      <c r="H195" s="19" t="n">
        <v>9</v>
      </c>
      <c r="I195" s="19" t="s">
        <v>649</v>
      </c>
      <c r="J195" s="19" t="s">
        <v>652</v>
      </c>
    </row>
    <row r="196" customFormat="false" ht="15" hidden="false" customHeight="true" outlineLevel="0" collapsed="false">
      <c r="B196" s="19" t="s">
        <v>844</v>
      </c>
      <c r="C196" s="19" t="s">
        <v>261</v>
      </c>
      <c r="D196" s="19" t="s">
        <v>262</v>
      </c>
      <c r="E196" s="19" t="s">
        <v>58</v>
      </c>
      <c r="F196" s="19" t="s">
        <v>59</v>
      </c>
      <c r="G196" s="19" t="s">
        <v>300</v>
      </c>
      <c r="H196" s="19" t="n">
        <v>14</v>
      </c>
      <c r="I196" s="19" t="s">
        <v>654</v>
      </c>
      <c r="J196" s="19" t="s">
        <v>652</v>
      </c>
    </row>
    <row r="197" customFormat="false" ht="15" hidden="false" customHeight="true" outlineLevel="0" collapsed="false">
      <c r="B197" s="19" t="s">
        <v>845</v>
      </c>
      <c r="C197" s="19" t="s">
        <v>267</v>
      </c>
      <c r="D197" s="19" t="s">
        <v>268</v>
      </c>
      <c r="E197" s="19" t="s">
        <v>42</v>
      </c>
      <c r="F197" s="19" t="s">
        <v>43</v>
      </c>
      <c r="G197" s="19" t="s">
        <v>291</v>
      </c>
      <c r="H197" s="19" t="n">
        <v>9</v>
      </c>
      <c r="I197" s="19" t="s">
        <v>649</v>
      </c>
      <c r="J197" s="19" t="s">
        <v>652</v>
      </c>
    </row>
    <row r="198" customFormat="false" ht="15" hidden="false" customHeight="true" outlineLevel="0" collapsed="false">
      <c r="B198" s="19" t="s">
        <v>846</v>
      </c>
      <c r="C198" s="19" t="s">
        <v>249</v>
      </c>
      <c r="D198" s="19" t="s">
        <v>250</v>
      </c>
      <c r="E198" s="19" t="s">
        <v>42</v>
      </c>
      <c r="F198" s="19" t="s">
        <v>43</v>
      </c>
      <c r="G198" s="19" t="s">
        <v>287</v>
      </c>
      <c r="H198" s="19" t="n">
        <v>13</v>
      </c>
      <c r="I198" s="19" t="s">
        <v>649</v>
      </c>
      <c r="J198" s="19" t="s">
        <v>652</v>
      </c>
    </row>
    <row r="199" customFormat="false" ht="15" hidden="false" customHeight="true" outlineLevel="0" collapsed="false">
      <c r="B199" s="19" t="s">
        <v>847</v>
      </c>
      <c r="C199" s="19" t="s">
        <v>231</v>
      </c>
      <c r="D199" s="19" t="s">
        <v>232</v>
      </c>
      <c r="E199" s="19" t="s">
        <v>66</v>
      </c>
      <c r="F199" s="19" t="s">
        <v>67</v>
      </c>
      <c r="G199" s="19" t="s">
        <v>291</v>
      </c>
      <c r="H199" s="19" t="n">
        <v>13</v>
      </c>
      <c r="I199" s="19" t="s">
        <v>649</v>
      </c>
      <c r="J199" s="19" t="s">
        <v>652</v>
      </c>
    </row>
    <row r="200" customFormat="false" ht="15" hidden="false" customHeight="true" outlineLevel="0" collapsed="false">
      <c r="B200" s="19" t="s">
        <v>848</v>
      </c>
      <c r="C200" s="19" t="s">
        <v>258</v>
      </c>
      <c r="D200" s="19" t="s">
        <v>259</v>
      </c>
      <c r="E200" s="19" t="s">
        <v>48</v>
      </c>
      <c r="F200" s="19" t="s">
        <v>49</v>
      </c>
      <c r="G200" s="19" t="s">
        <v>312</v>
      </c>
      <c r="H200" s="19" t="n">
        <v>17</v>
      </c>
      <c r="I200" s="19" t="s">
        <v>649</v>
      </c>
      <c r="J200" s="19" t="s">
        <v>652</v>
      </c>
    </row>
    <row r="201" customFormat="false" ht="15" hidden="false" customHeight="true" outlineLevel="0" collapsed="false">
      <c r="B201" s="19" t="s">
        <v>849</v>
      </c>
      <c r="C201" s="19" t="s">
        <v>238</v>
      </c>
      <c r="D201" s="19" t="s">
        <v>239</v>
      </c>
      <c r="E201" s="19" t="s">
        <v>62</v>
      </c>
      <c r="F201" s="19" t="s">
        <v>63</v>
      </c>
      <c r="G201" s="19" t="s">
        <v>312</v>
      </c>
      <c r="H201" s="19" t="n">
        <v>13</v>
      </c>
      <c r="I201" s="19" t="s">
        <v>649</v>
      </c>
      <c r="J201" s="19" t="s">
        <v>652</v>
      </c>
    </row>
    <row r="202" customFormat="false" ht="15" hidden="false" customHeight="true" outlineLevel="0" collapsed="false">
      <c r="B202" s="19" t="s">
        <v>850</v>
      </c>
      <c r="C202" s="19" t="s">
        <v>267</v>
      </c>
      <c r="D202" s="19" t="s">
        <v>268</v>
      </c>
      <c r="E202" s="19" t="s">
        <v>53</v>
      </c>
      <c r="F202" s="19" t="s">
        <v>54</v>
      </c>
      <c r="G202" s="19" t="s">
        <v>309</v>
      </c>
      <c r="H202" s="19" t="n">
        <v>19</v>
      </c>
      <c r="I202" s="19" t="s">
        <v>649</v>
      </c>
      <c r="J202" s="19" t="s">
        <v>652</v>
      </c>
    </row>
    <row r="203" customFormat="false" ht="15" hidden="false" customHeight="true" outlineLevel="0" collapsed="false">
      <c r="B203" s="19" t="s">
        <v>851</v>
      </c>
      <c r="C203" s="19" t="s">
        <v>223</v>
      </c>
      <c r="D203" s="19" t="s">
        <v>224</v>
      </c>
      <c r="E203" s="19" t="s">
        <v>53</v>
      </c>
      <c r="F203" s="19" t="s">
        <v>54</v>
      </c>
      <c r="G203" s="19" t="s">
        <v>287</v>
      </c>
      <c r="H203" s="19" t="n">
        <v>17</v>
      </c>
      <c r="I203" s="19" t="s">
        <v>649</v>
      </c>
      <c r="J203" s="19" t="s">
        <v>652</v>
      </c>
    </row>
    <row r="204" customFormat="false" ht="15" hidden="false" customHeight="true" outlineLevel="0" collapsed="false">
      <c r="B204" s="19" t="s">
        <v>852</v>
      </c>
      <c r="C204" s="19" t="s">
        <v>261</v>
      </c>
      <c r="D204" s="19" t="s">
        <v>262</v>
      </c>
      <c r="E204" s="19" t="s">
        <v>53</v>
      </c>
      <c r="F204" s="19" t="s">
        <v>54</v>
      </c>
      <c r="G204" s="19" t="s">
        <v>295</v>
      </c>
      <c r="H204" s="19" t="n">
        <v>33</v>
      </c>
      <c r="I204" s="19" t="s">
        <v>649</v>
      </c>
      <c r="J204" s="19" t="s">
        <v>652</v>
      </c>
    </row>
    <row r="205" customFormat="false" ht="15" hidden="false" customHeight="true" outlineLevel="0" collapsed="false">
      <c r="B205" s="19" t="s">
        <v>853</v>
      </c>
      <c r="C205" s="19" t="s">
        <v>258</v>
      </c>
      <c r="D205" s="19" t="s">
        <v>259</v>
      </c>
      <c r="E205" s="19" t="s">
        <v>58</v>
      </c>
      <c r="F205" s="19" t="s">
        <v>59</v>
      </c>
      <c r="G205" s="19" t="s">
        <v>293</v>
      </c>
      <c r="H205" s="19" t="n">
        <v>10</v>
      </c>
      <c r="I205" s="19" t="s">
        <v>654</v>
      </c>
      <c r="J205" s="19" t="s">
        <v>652</v>
      </c>
    </row>
    <row r="206" customFormat="false" ht="15" hidden="false" customHeight="true" outlineLevel="0" collapsed="false">
      <c r="B206" s="19" t="s">
        <v>854</v>
      </c>
      <c r="C206" s="19" t="s">
        <v>236</v>
      </c>
      <c r="D206" s="19" t="s">
        <v>237</v>
      </c>
      <c r="E206" s="19" t="s">
        <v>62</v>
      </c>
      <c r="F206" s="19" t="s">
        <v>63</v>
      </c>
      <c r="G206" s="19" t="s">
        <v>287</v>
      </c>
      <c r="H206" s="19" t="n">
        <v>18</v>
      </c>
      <c r="I206" s="19" t="s">
        <v>649</v>
      </c>
      <c r="J206" s="19" t="s">
        <v>652</v>
      </c>
    </row>
    <row r="207" customFormat="false" ht="15" hidden="false" customHeight="true" outlineLevel="0" collapsed="false">
      <c r="B207" s="19" t="s">
        <v>855</v>
      </c>
      <c r="C207" s="19" t="s">
        <v>267</v>
      </c>
      <c r="D207" s="19" t="s">
        <v>268</v>
      </c>
      <c r="E207" s="19" t="s">
        <v>62</v>
      </c>
      <c r="F207" s="19" t="s">
        <v>63</v>
      </c>
      <c r="G207" s="19" t="s">
        <v>331</v>
      </c>
      <c r="H207" s="19" t="n">
        <v>4</v>
      </c>
      <c r="I207" s="19" t="s">
        <v>649</v>
      </c>
      <c r="J207" s="19" t="s">
        <v>652</v>
      </c>
    </row>
    <row r="208" customFormat="false" ht="15" hidden="false" customHeight="true" outlineLevel="0" collapsed="false">
      <c r="B208" s="19" t="s">
        <v>856</v>
      </c>
      <c r="C208" s="19" t="s">
        <v>264</v>
      </c>
      <c r="D208" s="19" t="s">
        <v>265</v>
      </c>
      <c r="E208" s="19" t="s">
        <v>42</v>
      </c>
      <c r="F208" s="19" t="s">
        <v>43</v>
      </c>
      <c r="G208" s="19" t="s">
        <v>291</v>
      </c>
      <c r="H208" s="19" t="n">
        <v>9</v>
      </c>
      <c r="I208" s="19" t="s">
        <v>649</v>
      </c>
      <c r="J208" s="19" t="s">
        <v>652</v>
      </c>
    </row>
    <row r="209" customFormat="false" ht="15" hidden="false" customHeight="true" outlineLevel="0" collapsed="false">
      <c r="B209" s="19" t="s">
        <v>857</v>
      </c>
      <c r="C209" s="19" t="s">
        <v>249</v>
      </c>
      <c r="D209" s="19" t="s">
        <v>250</v>
      </c>
      <c r="E209" s="19" t="s">
        <v>48</v>
      </c>
      <c r="F209" s="19" t="s">
        <v>49</v>
      </c>
      <c r="G209" s="19" t="s">
        <v>295</v>
      </c>
      <c r="H209" s="19" t="n">
        <v>11</v>
      </c>
      <c r="I209" s="19" t="s">
        <v>649</v>
      </c>
      <c r="J209" s="19" t="s">
        <v>652</v>
      </c>
    </row>
    <row r="210" customFormat="false" ht="15" hidden="false" customHeight="true" outlineLevel="0" collapsed="false">
      <c r="B210" s="19" t="s">
        <v>858</v>
      </c>
      <c r="C210" s="19" t="s">
        <v>238</v>
      </c>
      <c r="D210" s="19" t="s">
        <v>239</v>
      </c>
      <c r="E210" s="19" t="s">
        <v>42</v>
      </c>
      <c r="F210" s="19" t="s">
        <v>43</v>
      </c>
      <c r="G210" s="19" t="s">
        <v>293</v>
      </c>
      <c r="H210" s="19" t="n">
        <v>18</v>
      </c>
      <c r="I210" s="19" t="s">
        <v>649</v>
      </c>
      <c r="J210" s="19" t="s">
        <v>652</v>
      </c>
    </row>
    <row r="211" customFormat="false" ht="15" hidden="false" customHeight="true" outlineLevel="0" collapsed="false">
      <c r="B211" s="19" t="s">
        <v>859</v>
      </c>
      <c r="C211" s="19" t="s">
        <v>223</v>
      </c>
      <c r="D211" s="19" t="s">
        <v>224</v>
      </c>
      <c r="E211" s="19" t="s">
        <v>48</v>
      </c>
      <c r="F211" s="19" t="s">
        <v>49</v>
      </c>
      <c r="G211" s="19" t="s">
        <v>279</v>
      </c>
      <c r="H211" s="19" t="n">
        <v>15</v>
      </c>
      <c r="I211" s="19" t="s">
        <v>654</v>
      </c>
      <c r="J211" s="19" t="s">
        <v>652</v>
      </c>
    </row>
    <row r="212" customFormat="false" ht="15" hidden="false" customHeight="true" outlineLevel="0" collapsed="false">
      <c r="B212" s="19" t="s">
        <v>860</v>
      </c>
      <c r="C212" s="19" t="s">
        <v>242</v>
      </c>
      <c r="D212" s="19" t="s">
        <v>243</v>
      </c>
      <c r="E212" s="19" t="s">
        <v>53</v>
      </c>
      <c r="F212" s="19" t="s">
        <v>54</v>
      </c>
      <c r="G212" s="19" t="s">
        <v>283</v>
      </c>
      <c r="H212" s="19" t="n">
        <v>14</v>
      </c>
      <c r="I212" s="19" t="s">
        <v>649</v>
      </c>
      <c r="J212" s="19" t="s">
        <v>652</v>
      </c>
    </row>
    <row r="213" customFormat="false" ht="15" hidden="false" customHeight="true" outlineLevel="0" collapsed="false">
      <c r="B213" s="19" t="s">
        <v>861</v>
      </c>
      <c r="C213" s="19" t="s">
        <v>242</v>
      </c>
      <c r="D213" s="19" t="s">
        <v>243</v>
      </c>
      <c r="E213" s="19" t="s">
        <v>62</v>
      </c>
      <c r="F213" s="19" t="s">
        <v>63</v>
      </c>
      <c r="G213" s="19" t="s">
        <v>300</v>
      </c>
      <c r="H213" s="19" t="n">
        <v>21</v>
      </c>
      <c r="I213" s="19" t="s">
        <v>649</v>
      </c>
      <c r="J213" s="19" t="s">
        <v>652</v>
      </c>
    </row>
    <row r="214" customFormat="false" ht="15" hidden="false" customHeight="true" outlineLevel="0" collapsed="false">
      <c r="B214" s="19" t="s">
        <v>862</v>
      </c>
      <c r="C214" s="19" t="s">
        <v>231</v>
      </c>
      <c r="D214" s="19" t="s">
        <v>232</v>
      </c>
      <c r="E214" s="19" t="s">
        <v>53</v>
      </c>
      <c r="F214" s="19" t="s">
        <v>54</v>
      </c>
      <c r="G214" s="19" t="s">
        <v>300</v>
      </c>
      <c r="H214" s="19" t="n">
        <v>10</v>
      </c>
      <c r="I214" s="19" t="s">
        <v>649</v>
      </c>
      <c r="J214" s="19" t="s">
        <v>652</v>
      </c>
    </row>
    <row r="215" customFormat="false" ht="15" hidden="false" customHeight="true" outlineLevel="0" collapsed="false">
      <c r="B215" s="19" t="s">
        <v>863</v>
      </c>
      <c r="C215" s="19" t="s">
        <v>231</v>
      </c>
      <c r="D215" s="19" t="s">
        <v>232</v>
      </c>
      <c r="E215" s="19" t="s">
        <v>66</v>
      </c>
      <c r="F215" s="19" t="s">
        <v>67</v>
      </c>
      <c r="G215" s="19" t="s">
        <v>287</v>
      </c>
      <c r="H215" s="19" t="n">
        <v>12</v>
      </c>
      <c r="I215" s="19" t="s">
        <v>649</v>
      </c>
      <c r="J215" s="19" t="s">
        <v>652</v>
      </c>
    </row>
    <row r="216" customFormat="false" ht="15" hidden="false" customHeight="true" outlineLevel="0" collapsed="false">
      <c r="B216" s="19" t="s">
        <v>864</v>
      </c>
      <c r="C216" s="19" t="s">
        <v>255</v>
      </c>
      <c r="D216" s="19" t="s">
        <v>256</v>
      </c>
      <c r="E216" s="19" t="s">
        <v>62</v>
      </c>
      <c r="F216" s="19" t="s">
        <v>63</v>
      </c>
      <c r="G216" s="19" t="s">
        <v>309</v>
      </c>
      <c r="H216" s="19" t="n">
        <v>18</v>
      </c>
      <c r="I216" s="19" t="s">
        <v>649</v>
      </c>
      <c r="J216" s="19" t="s">
        <v>652</v>
      </c>
    </row>
    <row r="217" customFormat="false" ht="15" hidden="false" customHeight="true" outlineLevel="0" collapsed="false">
      <c r="B217" s="19" t="s">
        <v>865</v>
      </c>
      <c r="C217" s="19" t="s">
        <v>249</v>
      </c>
      <c r="D217" s="19" t="s">
        <v>250</v>
      </c>
      <c r="E217" s="19" t="s">
        <v>53</v>
      </c>
      <c r="F217" s="19" t="s">
        <v>54</v>
      </c>
      <c r="G217" s="19" t="s">
        <v>283</v>
      </c>
      <c r="H217" s="19" t="n">
        <v>14</v>
      </c>
      <c r="I217" s="19" t="s">
        <v>649</v>
      </c>
      <c r="J217" s="19" t="s">
        <v>652</v>
      </c>
    </row>
    <row r="218" customFormat="false" ht="15" hidden="false" customHeight="true" outlineLevel="0" collapsed="false">
      <c r="B218" s="19" t="s">
        <v>866</v>
      </c>
      <c r="C218" s="19" t="s">
        <v>231</v>
      </c>
      <c r="D218" s="19" t="s">
        <v>232</v>
      </c>
      <c r="E218" s="19" t="s">
        <v>42</v>
      </c>
      <c r="F218" s="19" t="s">
        <v>43</v>
      </c>
      <c r="G218" s="19" t="s">
        <v>291</v>
      </c>
      <c r="H218" s="19" t="n">
        <v>20</v>
      </c>
      <c r="I218" s="19" t="s">
        <v>649</v>
      </c>
      <c r="J218" s="19" t="s">
        <v>652</v>
      </c>
    </row>
    <row r="219" customFormat="false" ht="15" hidden="false" customHeight="true" outlineLevel="0" collapsed="false">
      <c r="B219" s="19" t="s">
        <v>867</v>
      </c>
      <c r="C219" s="19" t="s">
        <v>233</v>
      </c>
      <c r="D219" s="19" t="s">
        <v>234</v>
      </c>
      <c r="E219" s="19" t="s">
        <v>53</v>
      </c>
      <c r="F219" s="19" t="s">
        <v>54</v>
      </c>
      <c r="G219" s="19" t="s">
        <v>312</v>
      </c>
      <c r="H219" s="19" t="n">
        <v>13</v>
      </c>
      <c r="I219" s="19" t="s">
        <v>649</v>
      </c>
      <c r="J219" s="19" t="s">
        <v>652</v>
      </c>
    </row>
    <row r="220" customFormat="false" ht="15" hidden="false" customHeight="true" outlineLevel="0" collapsed="false">
      <c r="B220" s="19" t="s">
        <v>868</v>
      </c>
      <c r="C220" s="19" t="s">
        <v>261</v>
      </c>
      <c r="D220" s="19" t="s">
        <v>262</v>
      </c>
      <c r="E220" s="19" t="s">
        <v>58</v>
      </c>
      <c r="F220" s="19" t="s">
        <v>59</v>
      </c>
      <c r="G220" s="19" t="s">
        <v>289</v>
      </c>
      <c r="H220" s="19" t="n">
        <v>13</v>
      </c>
      <c r="I220" s="19" t="s">
        <v>649</v>
      </c>
      <c r="J220" s="19" t="s">
        <v>652</v>
      </c>
    </row>
    <row r="221" customFormat="false" ht="15" hidden="false" customHeight="true" outlineLevel="0" collapsed="false">
      <c r="B221" s="19" t="s">
        <v>869</v>
      </c>
      <c r="C221" s="19" t="s">
        <v>227</v>
      </c>
      <c r="D221" s="19" t="s">
        <v>228</v>
      </c>
      <c r="E221" s="19" t="s">
        <v>42</v>
      </c>
      <c r="F221" s="19" t="s">
        <v>43</v>
      </c>
      <c r="G221" s="19" t="s">
        <v>309</v>
      </c>
      <c r="H221" s="19" t="n">
        <v>12</v>
      </c>
      <c r="I221" s="19" t="s">
        <v>649</v>
      </c>
      <c r="J221" s="19" t="s">
        <v>652</v>
      </c>
    </row>
    <row r="222" customFormat="false" ht="15" hidden="false" customHeight="true" outlineLevel="0" collapsed="false">
      <c r="B222" s="19" t="s">
        <v>870</v>
      </c>
      <c r="C222" s="19" t="s">
        <v>258</v>
      </c>
      <c r="D222" s="19" t="s">
        <v>259</v>
      </c>
      <c r="E222" s="19" t="s">
        <v>58</v>
      </c>
      <c r="F222" s="19" t="s">
        <v>59</v>
      </c>
      <c r="G222" s="19" t="s">
        <v>283</v>
      </c>
      <c r="H222" s="19" t="n">
        <v>20</v>
      </c>
      <c r="I222" s="19" t="s">
        <v>649</v>
      </c>
      <c r="J222" s="19" t="s">
        <v>652</v>
      </c>
    </row>
    <row r="223" customFormat="false" ht="15" hidden="false" customHeight="true" outlineLevel="0" collapsed="false">
      <c r="B223" s="19" t="s">
        <v>871</v>
      </c>
      <c r="C223" s="19" t="s">
        <v>261</v>
      </c>
      <c r="D223" s="19" t="s">
        <v>262</v>
      </c>
      <c r="E223" s="19" t="s">
        <v>58</v>
      </c>
      <c r="F223" s="19" t="s">
        <v>59</v>
      </c>
      <c r="G223" s="19" t="s">
        <v>312</v>
      </c>
      <c r="H223" s="19" t="n">
        <v>33</v>
      </c>
      <c r="I223" s="19" t="s">
        <v>649</v>
      </c>
      <c r="J223" s="19" t="s">
        <v>652</v>
      </c>
    </row>
    <row r="224" customFormat="false" ht="15" hidden="false" customHeight="true" outlineLevel="0" collapsed="false">
      <c r="B224" s="19" t="s">
        <v>872</v>
      </c>
      <c r="C224" s="19" t="s">
        <v>233</v>
      </c>
      <c r="D224" s="19" t="s">
        <v>234</v>
      </c>
      <c r="E224" s="19" t="s">
        <v>62</v>
      </c>
      <c r="F224" s="19" t="s">
        <v>63</v>
      </c>
      <c r="G224" s="19" t="s">
        <v>283</v>
      </c>
      <c r="H224" s="19" t="n">
        <v>18</v>
      </c>
      <c r="I224" s="19" t="s">
        <v>649</v>
      </c>
      <c r="J224" s="19" t="s">
        <v>652</v>
      </c>
    </row>
    <row r="225" customFormat="false" ht="15" hidden="false" customHeight="true" outlineLevel="0" collapsed="false">
      <c r="B225" s="19" t="s">
        <v>873</v>
      </c>
      <c r="C225" s="19" t="s">
        <v>258</v>
      </c>
      <c r="D225" s="19" t="s">
        <v>259</v>
      </c>
      <c r="E225" s="19" t="s">
        <v>62</v>
      </c>
      <c r="F225" s="19" t="s">
        <v>63</v>
      </c>
      <c r="G225" s="19" t="s">
        <v>293</v>
      </c>
      <c r="H225" s="19" t="n">
        <v>12</v>
      </c>
      <c r="I225" s="19" t="s">
        <v>649</v>
      </c>
      <c r="J225" s="19" t="s">
        <v>652</v>
      </c>
    </row>
    <row r="226" customFormat="false" ht="15" hidden="false" customHeight="true" outlineLevel="0" collapsed="false">
      <c r="B226" s="19" t="s">
        <v>874</v>
      </c>
      <c r="C226" s="19" t="s">
        <v>258</v>
      </c>
      <c r="D226" s="19" t="s">
        <v>259</v>
      </c>
      <c r="E226" s="19" t="s">
        <v>66</v>
      </c>
      <c r="F226" s="19" t="s">
        <v>67</v>
      </c>
      <c r="G226" s="19" t="s">
        <v>287</v>
      </c>
      <c r="H226" s="19" t="n">
        <v>18</v>
      </c>
      <c r="I226" s="19" t="s">
        <v>654</v>
      </c>
      <c r="J226" s="19" t="s">
        <v>652</v>
      </c>
    </row>
    <row r="227" customFormat="false" ht="15" hidden="false" customHeight="true" outlineLevel="0" collapsed="false">
      <c r="B227" s="19" t="s">
        <v>875</v>
      </c>
      <c r="C227" s="19" t="s">
        <v>233</v>
      </c>
      <c r="D227" s="19" t="s">
        <v>234</v>
      </c>
      <c r="E227" s="19" t="s">
        <v>58</v>
      </c>
      <c r="F227" s="19" t="s">
        <v>59</v>
      </c>
      <c r="G227" s="19" t="s">
        <v>287</v>
      </c>
      <c r="H227" s="19" t="n">
        <v>25</v>
      </c>
      <c r="I227" s="19" t="s">
        <v>654</v>
      </c>
      <c r="J227" s="19" t="s">
        <v>652</v>
      </c>
    </row>
    <row r="228" customFormat="false" ht="15" hidden="false" customHeight="true" outlineLevel="0" collapsed="false">
      <c r="B228" s="19" t="s">
        <v>876</v>
      </c>
      <c r="C228" s="19" t="s">
        <v>267</v>
      </c>
      <c r="D228" s="19" t="s">
        <v>268</v>
      </c>
      <c r="E228" s="19" t="s">
        <v>66</v>
      </c>
      <c r="F228" s="19" t="s">
        <v>67</v>
      </c>
      <c r="G228" s="19" t="s">
        <v>283</v>
      </c>
      <c r="H228" s="19" t="n">
        <v>21</v>
      </c>
      <c r="I228" s="19" t="s">
        <v>649</v>
      </c>
      <c r="J228" s="19" t="s">
        <v>652</v>
      </c>
    </row>
    <row r="229" customFormat="false" ht="15" hidden="false" customHeight="true" outlineLevel="0" collapsed="false">
      <c r="B229" s="19" t="s">
        <v>877</v>
      </c>
      <c r="C229" s="19" t="s">
        <v>264</v>
      </c>
      <c r="D229" s="19" t="s">
        <v>265</v>
      </c>
      <c r="E229" s="19" t="s">
        <v>58</v>
      </c>
      <c r="F229" s="19" t="s">
        <v>59</v>
      </c>
      <c r="G229" s="19" t="s">
        <v>312</v>
      </c>
      <c r="H229" s="19" t="n">
        <v>18</v>
      </c>
      <c r="I229" s="19" t="s">
        <v>649</v>
      </c>
      <c r="J229" s="19" t="s">
        <v>652</v>
      </c>
    </row>
    <row r="230" customFormat="false" ht="15" hidden="false" customHeight="true" outlineLevel="0" collapsed="false">
      <c r="B230" s="19" t="s">
        <v>878</v>
      </c>
      <c r="C230" s="19" t="s">
        <v>238</v>
      </c>
      <c r="D230" s="19" t="s">
        <v>239</v>
      </c>
      <c r="E230" s="19" t="s">
        <v>42</v>
      </c>
      <c r="F230" s="19" t="s">
        <v>43</v>
      </c>
      <c r="G230" s="19" t="s">
        <v>285</v>
      </c>
      <c r="H230" s="19" t="n">
        <v>14</v>
      </c>
      <c r="I230" s="19" t="s">
        <v>649</v>
      </c>
      <c r="J230" s="19" t="s">
        <v>652</v>
      </c>
    </row>
    <row r="231" customFormat="false" ht="15" hidden="false" customHeight="true" outlineLevel="0" collapsed="false">
      <c r="B231" s="19" t="s">
        <v>879</v>
      </c>
      <c r="C231" s="19" t="s">
        <v>242</v>
      </c>
      <c r="D231" s="19" t="s">
        <v>243</v>
      </c>
      <c r="E231" s="19" t="s">
        <v>62</v>
      </c>
      <c r="F231" s="19" t="s">
        <v>63</v>
      </c>
      <c r="G231" s="19" t="s">
        <v>331</v>
      </c>
      <c r="H231" s="19" t="n">
        <v>12</v>
      </c>
      <c r="I231" s="19" t="s">
        <v>649</v>
      </c>
      <c r="J231" s="19" t="s">
        <v>652</v>
      </c>
    </row>
    <row r="232" customFormat="false" ht="15" hidden="false" customHeight="true" outlineLevel="0" collapsed="false">
      <c r="B232" s="19" t="s">
        <v>880</v>
      </c>
      <c r="C232" s="19" t="s">
        <v>255</v>
      </c>
      <c r="D232" s="19" t="s">
        <v>256</v>
      </c>
      <c r="E232" s="19" t="s">
        <v>48</v>
      </c>
      <c r="F232" s="19" t="s">
        <v>49</v>
      </c>
      <c r="G232" s="19" t="s">
        <v>283</v>
      </c>
      <c r="H232" s="19" t="n">
        <v>12</v>
      </c>
      <c r="I232" s="19" t="s">
        <v>649</v>
      </c>
      <c r="J232" s="19" t="s">
        <v>652</v>
      </c>
    </row>
    <row r="233" customFormat="false" ht="15" hidden="false" customHeight="true" outlineLevel="0" collapsed="false">
      <c r="B233" s="19" t="s">
        <v>881</v>
      </c>
      <c r="C233" s="19" t="s">
        <v>238</v>
      </c>
      <c r="D233" s="19" t="s">
        <v>239</v>
      </c>
      <c r="E233" s="19" t="s">
        <v>48</v>
      </c>
      <c r="F233" s="19" t="s">
        <v>49</v>
      </c>
      <c r="G233" s="19" t="s">
        <v>295</v>
      </c>
      <c r="H233" s="19" t="n">
        <v>18</v>
      </c>
      <c r="I233" s="19" t="s">
        <v>649</v>
      </c>
      <c r="J233" s="19" t="s">
        <v>652</v>
      </c>
    </row>
    <row r="234" customFormat="false" ht="15" hidden="false" customHeight="true" outlineLevel="0" collapsed="false">
      <c r="B234" s="19" t="s">
        <v>882</v>
      </c>
      <c r="C234" s="19" t="s">
        <v>249</v>
      </c>
      <c r="D234" s="19" t="s">
        <v>250</v>
      </c>
      <c r="E234" s="19" t="s">
        <v>62</v>
      </c>
      <c r="F234" s="19" t="s">
        <v>63</v>
      </c>
      <c r="G234" s="19" t="s">
        <v>293</v>
      </c>
      <c r="H234" s="19" t="n">
        <v>21</v>
      </c>
      <c r="I234" s="19" t="s">
        <v>649</v>
      </c>
      <c r="J234" s="19" t="s">
        <v>652</v>
      </c>
    </row>
    <row r="235" customFormat="false" ht="15" hidden="false" customHeight="true" outlineLevel="0" collapsed="false">
      <c r="B235" s="19" t="s">
        <v>883</v>
      </c>
      <c r="C235" s="19" t="s">
        <v>255</v>
      </c>
      <c r="D235" s="19" t="s">
        <v>256</v>
      </c>
      <c r="E235" s="19" t="s">
        <v>53</v>
      </c>
      <c r="F235" s="19" t="s">
        <v>54</v>
      </c>
      <c r="G235" s="19" t="s">
        <v>295</v>
      </c>
      <c r="H235" s="19" t="n">
        <v>9</v>
      </c>
      <c r="I235" s="19" t="s">
        <v>649</v>
      </c>
      <c r="J235" s="19" t="s">
        <v>652</v>
      </c>
    </row>
    <row r="236" customFormat="false" ht="15" hidden="false" customHeight="true" outlineLevel="0" collapsed="false">
      <c r="B236" s="19" t="s">
        <v>884</v>
      </c>
      <c r="C236" s="19" t="s">
        <v>267</v>
      </c>
      <c r="D236" s="19" t="s">
        <v>268</v>
      </c>
      <c r="E236" s="19" t="s">
        <v>48</v>
      </c>
      <c r="F236" s="19" t="s">
        <v>49</v>
      </c>
      <c r="G236" s="19" t="s">
        <v>295</v>
      </c>
      <c r="H236" s="19" t="n">
        <v>21</v>
      </c>
      <c r="I236" s="19" t="s">
        <v>649</v>
      </c>
      <c r="J236" s="19" t="s">
        <v>652</v>
      </c>
    </row>
    <row r="237" customFormat="false" ht="15" hidden="false" customHeight="true" outlineLevel="0" collapsed="false">
      <c r="B237" s="19" t="s">
        <v>885</v>
      </c>
      <c r="C237" s="19" t="s">
        <v>255</v>
      </c>
      <c r="D237" s="19" t="s">
        <v>256</v>
      </c>
      <c r="E237" s="19" t="s">
        <v>53</v>
      </c>
      <c r="F237" s="19" t="s">
        <v>54</v>
      </c>
      <c r="G237" s="19" t="s">
        <v>289</v>
      </c>
      <c r="H237" s="19" t="n">
        <v>18</v>
      </c>
      <c r="I237" s="19" t="s">
        <v>649</v>
      </c>
      <c r="J237" s="19" t="s">
        <v>652</v>
      </c>
    </row>
    <row r="238" customFormat="false" ht="15" hidden="false" customHeight="true" outlineLevel="0" collapsed="false">
      <c r="B238" s="19" t="s">
        <v>886</v>
      </c>
      <c r="C238" s="19" t="s">
        <v>223</v>
      </c>
      <c r="D238" s="19" t="s">
        <v>224</v>
      </c>
      <c r="E238" s="19" t="s">
        <v>58</v>
      </c>
      <c r="F238" s="19" t="s">
        <v>59</v>
      </c>
      <c r="G238" s="19" t="s">
        <v>291</v>
      </c>
      <c r="H238" s="19" t="n">
        <v>12</v>
      </c>
      <c r="I238" s="19" t="s">
        <v>654</v>
      </c>
      <c r="J238" s="19" t="s">
        <v>652</v>
      </c>
    </row>
    <row r="239" customFormat="false" ht="15" hidden="false" customHeight="true" outlineLevel="0" collapsed="false">
      <c r="B239" s="19" t="s">
        <v>887</v>
      </c>
      <c r="C239" s="19" t="s">
        <v>236</v>
      </c>
      <c r="D239" s="19" t="s">
        <v>237</v>
      </c>
      <c r="E239" s="19" t="s">
        <v>48</v>
      </c>
      <c r="F239" s="19" t="s">
        <v>49</v>
      </c>
      <c r="G239" s="19" t="s">
        <v>309</v>
      </c>
      <c r="H239" s="19" t="n">
        <v>15</v>
      </c>
      <c r="I239" s="19" t="s">
        <v>649</v>
      </c>
      <c r="J239" s="19" t="s">
        <v>652</v>
      </c>
    </row>
    <row r="240" customFormat="false" ht="15" hidden="false" customHeight="true" outlineLevel="0" collapsed="false">
      <c r="B240" s="19" t="s">
        <v>888</v>
      </c>
      <c r="C240" s="19" t="s">
        <v>255</v>
      </c>
      <c r="D240" s="19" t="s">
        <v>256</v>
      </c>
      <c r="E240" s="19" t="s">
        <v>48</v>
      </c>
      <c r="F240" s="19" t="s">
        <v>49</v>
      </c>
      <c r="G240" s="19" t="s">
        <v>287</v>
      </c>
      <c r="H240" s="19" t="n">
        <v>14</v>
      </c>
      <c r="I240" s="19" t="s">
        <v>654</v>
      </c>
      <c r="J240" s="19" t="s">
        <v>652</v>
      </c>
    </row>
    <row r="241" customFormat="false" ht="15" hidden="false" customHeight="true" outlineLevel="0" collapsed="false">
      <c r="B241" s="19" t="s">
        <v>889</v>
      </c>
      <c r="C241" s="19" t="s">
        <v>238</v>
      </c>
      <c r="D241" s="19" t="s">
        <v>239</v>
      </c>
      <c r="E241" s="19" t="s">
        <v>48</v>
      </c>
      <c r="F241" s="19" t="s">
        <v>49</v>
      </c>
      <c r="G241" s="19" t="s">
        <v>289</v>
      </c>
      <c r="H241" s="19" t="n">
        <v>10</v>
      </c>
      <c r="I241" s="19" t="s">
        <v>654</v>
      </c>
      <c r="J241" s="19" t="s">
        <v>652</v>
      </c>
    </row>
    <row r="242" customFormat="false" ht="15" hidden="false" customHeight="true" outlineLevel="0" collapsed="false">
      <c r="B242" s="19" t="s">
        <v>890</v>
      </c>
      <c r="C242" s="19" t="s">
        <v>255</v>
      </c>
      <c r="D242" s="19" t="s">
        <v>256</v>
      </c>
      <c r="E242" s="19" t="s">
        <v>62</v>
      </c>
      <c r="F242" s="19" t="s">
        <v>63</v>
      </c>
      <c r="G242" s="19" t="s">
        <v>291</v>
      </c>
      <c r="H242" s="19" t="n">
        <v>17</v>
      </c>
      <c r="I242" s="19" t="s">
        <v>649</v>
      </c>
      <c r="J242" s="19" t="s">
        <v>652</v>
      </c>
    </row>
    <row r="243" customFormat="false" ht="15" hidden="false" customHeight="true" outlineLevel="0" collapsed="false">
      <c r="B243" s="19" t="s">
        <v>891</v>
      </c>
      <c r="C243" s="19" t="s">
        <v>264</v>
      </c>
      <c r="D243" s="19" t="s">
        <v>265</v>
      </c>
      <c r="E243" s="19" t="s">
        <v>58</v>
      </c>
      <c r="F243" s="19" t="s">
        <v>59</v>
      </c>
      <c r="G243" s="19" t="s">
        <v>331</v>
      </c>
      <c r="H243" s="19" t="n">
        <v>18</v>
      </c>
      <c r="I243" s="19" t="s">
        <v>649</v>
      </c>
      <c r="J243" s="19" t="s">
        <v>652</v>
      </c>
    </row>
    <row r="244" customFormat="false" ht="15" hidden="false" customHeight="true" outlineLevel="0" collapsed="false">
      <c r="B244" s="19" t="s">
        <v>892</v>
      </c>
      <c r="C244" s="19" t="s">
        <v>245</v>
      </c>
      <c r="D244" s="19" t="s">
        <v>246</v>
      </c>
      <c r="E244" s="19" t="s">
        <v>58</v>
      </c>
      <c r="F244" s="19" t="s">
        <v>59</v>
      </c>
      <c r="G244" s="19" t="s">
        <v>331</v>
      </c>
      <c r="H244" s="19" t="n">
        <v>13</v>
      </c>
      <c r="I244" s="19" t="s">
        <v>649</v>
      </c>
      <c r="J244" s="19" t="s">
        <v>652</v>
      </c>
    </row>
    <row r="245" customFormat="false" ht="15" hidden="false" customHeight="true" outlineLevel="0" collapsed="false">
      <c r="B245" s="19" t="s">
        <v>893</v>
      </c>
      <c r="C245" s="19" t="s">
        <v>261</v>
      </c>
      <c r="D245" s="19" t="s">
        <v>262</v>
      </c>
      <c r="E245" s="19" t="s">
        <v>62</v>
      </c>
      <c r="F245" s="19" t="s">
        <v>63</v>
      </c>
      <c r="G245" s="19" t="s">
        <v>309</v>
      </c>
      <c r="H245" s="19" t="n">
        <v>10</v>
      </c>
      <c r="I245" s="19" t="s">
        <v>649</v>
      </c>
      <c r="J245" s="19" t="s">
        <v>652</v>
      </c>
    </row>
    <row r="246" customFormat="false" ht="15" hidden="false" customHeight="true" outlineLevel="0" collapsed="false">
      <c r="B246" s="19" t="s">
        <v>894</v>
      </c>
      <c r="C246" s="19" t="s">
        <v>264</v>
      </c>
      <c r="D246" s="19" t="s">
        <v>265</v>
      </c>
      <c r="E246" s="19" t="s">
        <v>53</v>
      </c>
      <c r="F246" s="19" t="s">
        <v>54</v>
      </c>
      <c r="G246" s="19" t="s">
        <v>283</v>
      </c>
      <c r="H246" s="19" t="n">
        <v>37</v>
      </c>
      <c r="I246" s="19" t="s">
        <v>649</v>
      </c>
      <c r="J246" s="19" t="s">
        <v>652</v>
      </c>
    </row>
    <row r="247" customFormat="false" ht="15" hidden="false" customHeight="true" outlineLevel="0" collapsed="false">
      <c r="B247" s="19" t="s">
        <v>895</v>
      </c>
      <c r="C247" s="19" t="s">
        <v>231</v>
      </c>
      <c r="D247" s="19" t="s">
        <v>232</v>
      </c>
      <c r="E247" s="19" t="s">
        <v>66</v>
      </c>
      <c r="F247" s="19" t="s">
        <v>67</v>
      </c>
      <c r="G247" s="19" t="s">
        <v>300</v>
      </c>
      <c r="H247" s="19" t="n">
        <v>9</v>
      </c>
      <c r="I247" s="19" t="s">
        <v>654</v>
      </c>
      <c r="J247" s="19" t="s">
        <v>652</v>
      </c>
    </row>
    <row r="248" customFormat="false" ht="15" hidden="false" customHeight="true" outlineLevel="0" collapsed="false">
      <c r="B248" s="19" t="s">
        <v>896</v>
      </c>
      <c r="C248" s="19" t="s">
        <v>242</v>
      </c>
      <c r="D248" s="19" t="s">
        <v>243</v>
      </c>
      <c r="E248" s="19" t="s">
        <v>66</v>
      </c>
      <c r="F248" s="19" t="s">
        <v>67</v>
      </c>
      <c r="G248" s="19" t="s">
        <v>279</v>
      </c>
      <c r="H248" s="19" t="n">
        <v>17</v>
      </c>
      <c r="I248" s="19" t="s">
        <v>649</v>
      </c>
      <c r="J248" s="19" t="s">
        <v>652</v>
      </c>
    </row>
    <row r="249" customFormat="false" ht="15" hidden="false" customHeight="true" outlineLevel="0" collapsed="false">
      <c r="B249" s="19" t="s">
        <v>897</v>
      </c>
      <c r="C249" s="19" t="s">
        <v>238</v>
      </c>
      <c r="D249" s="19" t="s">
        <v>239</v>
      </c>
      <c r="E249" s="19" t="s">
        <v>42</v>
      </c>
      <c r="F249" s="19" t="s">
        <v>43</v>
      </c>
      <c r="G249" s="19" t="s">
        <v>295</v>
      </c>
      <c r="H249" s="19" t="n">
        <v>16</v>
      </c>
      <c r="I249" s="19" t="s">
        <v>649</v>
      </c>
      <c r="J249" s="19" t="s">
        <v>652</v>
      </c>
    </row>
    <row r="250" customFormat="false" ht="15" hidden="false" customHeight="true" outlineLevel="0" collapsed="false">
      <c r="B250" s="19" t="s">
        <v>898</v>
      </c>
      <c r="C250" s="19" t="s">
        <v>264</v>
      </c>
      <c r="D250" s="19" t="s">
        <v>265</v>
      </c>
      <c r="E250" s="19" t="s">
        <v>53</v>
      </c>
      <c r="F250" s="19" t="s">
        <v>54</v>
      </c>
      <c r="G250" s="19" t="s">
        <v>312</v>
      </c>
      <c r="H250" s="19" t="n">
        <v>13</v>
      </c>
      <c r="I250" s="19" t="s">
        <v>649</v>
      </c>
      <c r="J250" s="19" t="s">
        <v>652</v>
      </c>
    </row>
    <row r="251" customFormat="false" ht="15" hidden="false" customHeight="true" outlineLevel="0" collapsed="false">
      <c r="B251" s="19" t="s">
        <v>899</v>
      </c>
      <c r="C251" s="19" t="s">
        <v>238</v>
      </c>
      <c r="D251" s="19" t="s">
        <v>239</v>
      </c>
      <c r="E251" s="19" t="s">
        <v>62</v>
      </c>
      <c r="F251" s="19" t="s">
        <v>63</v>
      </c>
      <c r="G251" s="19" t="s">
        <v>309</v>
      </c>
      <c r="H251" s="19" t="n">
        <v>34</v>
      </c>
      <c r="I251" s="19" t="s">
        <v>649</v>
      </c>
      <c r="J251" s="19" t="s">
        <v>652</v>
      </c>
    </row>
    <row r="252" customFormat="false" ht="15" hidden="false" customHeight="true" outlineLevel="0" collapsed="false">
      <c r="B252" s="19" t="s">
        <v>900</v>
      </c>
      <c r="C252" s="19" t="s">
        <v>236</v>
      </c>
      <c r="D252" s="19" t="s">
        <v>237</v>
      </c>
      <c r="E252" s="19" t="s">
        <v>58</v>
      </c>
      <c r="F252" s="19" t="s">
        <v>59</v>
      </c>
      <c r="G252" s="19" t="s">
        <v>289</v>
      </c>
      <c r="H252" s="19" t="n">
        <v>34</v>
      </c>
      <c r="I252" s="19" t="s">
        <v>649</v>
      </c>
      <c r="J252" s="19" t="s">
        <v>652</v>
      </c>
    </row>
    <row r="253" customFormat="false" ht="15" hidden="false" customHeight="true" outlineLevel="0" collapsed="false">
      <c r="B253" s="19" t="s">
        <v>901</v>
      </c>
      <c r="C253" s="19" t="s">
        <v>261</v>
      </c>
      <c r="D253" s="19" t="s">
        <v>262</v>
      </c>
      <c r="E253" s="19" t="s">
        <v>53</v>
      </c>
      <c r="F253" s="19" t="s">
        <v>54</v>
      </c>
      <c r="G253" s="19" t="s">
        <v>285</v>
      </c>
      <c r="H253" s="19" t="n">
        <v>41</v>
      </c>
      <c r="I253" s="19" t="s">
        <v>649</v>
      </c>
      <c r="J253" s="19" t="s">
        <v>652</v>
      </c>
    </row>
    <row r="254" customFormat="false" ht="15" hidden="false" customHeight="true" outlineLevel="0" collapsed="false">
      <c r="B254" s="19" t="s">
        <v>902</v>
      </c>
      <c r="C254" s="19" t="s">
        <v>238</v>
      </c>
      <c r="D254" s="19" t="s">
        <v>239</v>
      </c>
      <c r="E254" s="19" t="s">
        <v>58</v>
      </c>
      <c r="F254" s="19" t="s">
        <v>59</v>
      </c>
      <c r="G254" s="19" t="s">
        <v>289</v>
      </c>
      <c r="H254" s="19" t="n">
        <v>11</v>
      </c>
      <c r="I254" s="19" t="s">
        <v>649</v>
      </c>
      <c r="J254" s="19" t="s">
        <v>652</v>
      </c>
    </row>
    <row r="255" customFormat="false" ht="15" hidden="false" customHeight="true" outlineLevel="0" collapsed="false">
      <c r="B255" s="19" t="s">
        <v>903</v>
      </c>
      <c r="C255" s="19" t="s">
        <v>261</v>
      </c>
      <c r="D255" s="19" t="s">
        <v>262</v>
      </c>
      <c r="E255" s="19" t="s">
        <v>62</v>
      </c>
      <c r="F255" s="19" t="s">
        <v>63</v>
      </c>
      <c r="G255" s="19" t="s">
        <v>293</v>
      </c>
      <c r="H255" s="19" t="n">
        <v>18</v>
      </c>
      <c r="I255" s="19" t="s">
        <v>649</v>
      </c>
      <c r="J255" s="19" t="s">
        <v>652</v>
      </c>
    </row>
    <row r="256" customFormat="false" ht="15" hidden="false" customHeight="true" outlineLevel="0" collapsed="false">
      <c r="B256" s="19" t="s">
        <v>904</v>
      </c>
      <c r="C256" s="19" t="s">
        <v>227</v>
      </c>
      <c r="D256" s="19" t="s">
        <v>228</v>
      </c>
      <c r="E256" s="19" t="s">
        <v>48</v>
      </c>
      <c r="F256" s="19" t="s">
        <v>49</v>
      </c>
      <c r="G256" s="19" t="s">
        <v>287</v>
      </c>
      <c r="H256" s="19" t="n">
        <v>9</v>
      </c>
      <c r="I256" s="19" t="s">
        <v>649</v>
      </c>
      <c r="J256" s="19" t="s">
        <v>652</v>
      </c>
    </row>
    <row r="257" customFormat="false" ht="15" hidden="false" customHeight="true" outlineLevel="0" collapsed="false">
      <c r="B257" s="19" t="s">
        <v>905</v>
      </c>
      <c r="C257" s="19" t="s">
        <v>245</v>
      </c>
      <c r="D257" s="19" t="s">
        <v>246</v>
      </c>
      <c r="E257" s="19" t="s">
        <v>66</v>
      </c>
      <c r="F257" s="19" t="s">
        <v>67</v>
      </c>
      <c r="G257" s="19" t="s">
        <v>279</v>
      </c>
      <c r="H257" s="19" t="n">
        <v>8</v>
      </c>
      <c r="I257" s="19" t="s">
        <v>649</v>
      </c>
      <c r="J257" s="19" t="s">
        <v>652</v>
      </c>
    </row>
    <row r="258" customFormat="false" ht="15" hidden="false" customHeight="true" outlineLevel="0" collapsed="false">
      <c r="B258" s="19" t="s">
        <v>906</v>
      </c>
      <c r="C258" s="19" t="s">
        <v>242</v>
      </c>
      <c r="D258" s="19" t="s">
        <v>243</v>
      </c>
      <c r="E258" s="19" t="s">
        <v>48</v>
      </c>
      <c r="F258" s="19" t="s">
        <v>49</v>
      </c>
      <c r="G258" s="19" t="s">
        <v>285</v>
      </c>
      <c r="H258" s="19" t="n">
        <v>13</v>
      </c>
      <c r="I258" s="19" t="s">
        <v>649</v>
      </c>
      <c r="J258" s="19" t="s">
        <v>652</v>
      </c>
    </row>
    <row r="259" customFormat="false" ht="15" hidden="false" customHeight="true" outlineLevel="0" collapsed="false">
      <c r="B259" s="19" t="s">
        <v>907</v>
      </c>
      <c r="C259" s="19" t="s">
        <v>258</v>
      </c>
      <c r="D259" s="19" t="s">
        <v>259</v>
      </c>
      <c r="E259" s="19" t="s">
        <v>66</v>
      </c>
      <c r="F259" s="19" t="s">
        <v>67</v>
      </c>
      <c r="G259" s="19" t="s">
        <v>289</v>
      </c>
      <c r="H259" s="19" t="n">
        <v>14</v>
      </c>
      <c r="I259" s="19" t="s">
        <v>649</v>
      </c>
      <c r="J259" s="19" t="s">
        <v>652</v>
      </c>
    </row>
    <row r="260" customFormat="false" ht="15" hidden="false" customHeight="true" outlineLevel="0" collapsed="false">
      <c r="B260" s="19" t="s">
        <v>908</v>
      </c>
      <c r="C260" s="19" t="s">
        <v>242</v>
      </c>
      <c r="D260" s="19" t="s">
        <v>243</v>
      </c>
      <c r="E260" s="19" t="s">
        <v>58</v>
      </c>
      <c r="F260" s="19" t="s">
        <v>59</v>
      </c>
      <c r="G260" s="19" t="s">
        <v>309</v>
      </c>
      <c r="H260" s="19" t="n">
        <v>14</v>
      </c>
      <c r="I260" s="19" t="s">
        <v>649</v>
      </c>
      <c r="J260" s="19" t="s">
        <v>652</v>
      </c>
    </row>
    <row r="261" customFormat="false" ht="15" hidden="false" customHeight="true" outlineLevel="0" collapsed="false">
      <c r="B261" s="19" t="s">
        <v>909</v>
      </c>
      <c r="C261" s="19" t="s">
        <v>258</v>
      </c>
      <c r="D261" s="19" t="s">
        <v>259</v>
      </c>
      <c r="E261" s="19" t="s">
        <v>58</v>
      </c>
      <c r="F261" s="19" t="s">
        <v>59</v>
      </c>
      <c r="G261" s="19" t="s">
        <v>300</v>
      </c>
      <c r="H261" s="19" t="n">
        <v>12</v>
      </c>
      <c r="I261" s="19" t="s">
        <v>654</v>
      </c>
      <c r="J261" s="19" t="s">
        <v>652</v>
      </c>
    </row>
    <row r="262" customFormat="false" ht="15" hidden="false" customHeight="true" outlineLevel="0" collapsed="false">
      <c r="B262" s="19" t="s">
        <v>910</v>
      </c>
      <c r="C262" s="19" t="s">
        <v>242</v>
      </c>
      <c r="D262" s="19" t="s">
        <v>243</v>
      </c>
      <c r="E262" s="19" t="s">
        <v>48</v>
      </c>
      <c r="F262" s="19" t="s">
        <v>49</v>
      </c>
      <c r="G262" s="19" t="s">
        <v>300</v>
      </c>
      <c r="H262" s="19" t="n">
        <v>12</v>
      </c>
      <c r="I262" s="19" t="s">
        <v>649</v>
      </c>
      <c r="J262" s="19" t="s">
        <v>652</v>
      </c>
    </row>
    <row r="263" customFormat="false" ht="15" hidden="false" customHeight="true" outlineLevel="0" collapsed="false">
      <c r="B263" s="19" t="s">
        <v>911</v>
      </c>
      <c r="C263" s="19" t="s">
        <v>223</v>
      </c>
      <c r="D263" s="19" t="s">
        <v>224</v>
      </c>
      <c r="E263" s="19" t="s">
        <v>42</v>
      </c>
      <c r="F263" s="19" t="s">
        <v>43</v>
      </c>
      <c r="G263" s="19" t="s">
        <v>300</v>
      </c>
      <c r="H263" s="19" t="n">
        <v>32</v>
      </c>
      <c r="I263" s="19" t="s">
        <v>649</v>
      </c>
      <c r="J263" s="19" t="s">
        <v>652</v>
      </c>
    </row>
    <row r="264" customFormat="false" ht="15" hidden="false" customHeight="true" outlineLevel="0" collapsed="false">
      <c r="B264" s="19" t="s">
        <v>912</v>
      </c>
      <c r="C264" s="19" t="s">
        <v>223</v>
      </c>
      <c r="D264" s="19" t="s">
        <v>224</v>
      </c>
      <c r="E264" s="19" t="s">
        <v>66</v>
      </c>
      <c r="F264" s="19" t="s">
        <v>67</v>
      </c>
      <c r="G264" s="19" t="s">
        <v>279</v>
      </c>
      <c r="H264" s="19" t="n">
        <v>11</v>
      </c>
      <c r="I264" s="19" t="s">
        <v>649</v>
      </c>
      <c r="J264" s="19" t="s">
        <v>652</v>
      </c>
    </row>
    <row r="265" customFormat="false" ht="15" hidden="false" customHeight="true" outlineLevel="0" collapsed="false">
      <c r="B265" s="19" t="s">
        <v>913</v>
      </c>
      <c r="C265" s="19" t="s">
        <v>227</v>
      </c>
      <c r="D265" s="19" t="s">
        <v>228</v>
      </c>
      <c r="E265" s="19" t="s">
        <v>53</v>
      </c>
      <c r="F265" s="19" t="s">
        <v>54</v>
      </c>
      <c r="G265" s="19" t="s">
        <v>295</v>
      </c>
      <c r="H265" s="19" t="n">
        <v>11</v>
      </c>
      <c r="I265" s="19" t="s">
        <v>649</v>
      </c>
      <c r="J265" s="19" t="s">
        <v>652</v>
      </c>
    </row>
    <row r="266" customFormat="false" ht="15" hidden="false" customHeight="true" outlineLevel="0" collapsed="false">
      <c r="B266" s="19" t="s">
        <v>914</v>
      </c>
      <c r="C266" s="19" t="s">
        <v>264</v>
      </c>
      <c r="D266" s="19" t="s">
        <v>265</v>
      </c>
      <c r="E266" s="19" t="s">
        <v>58</v>
      </c>
      <c r="F266" s="19" t="s">
        <v>59</v>
      </c>
      <c r="G266" s="19" t="s">
        <v>289</v>
      </c>
      <c r="H266" s="19" t="n">
        <v>15</v>
      </c>
      <c r="I266" s="19" t="s">
        <v>649</v>
      </c>
      <c r="J266" s="19" t="s">
        <v>652</v>
      </c>
    </row>
    <row r="267" customFormat="false" ht="15" hidden="false" customHeight="true" outlineLevel="0" collapsed="false">
      <c r="B267" s="19" t="s">
        <v>915</v>
      </c>
      <c r="C267" s="19" t="s">
        <v>238</v>
      </c>
      <c r="D267" s="19" t="s">
        <v>239</v>
      </c>
      <c r="E267" s="19" t="s">
        <v>66</v>
      </c>
      <c r="F267" s="19" t="s">
        <v>67</v>
      </c>
      <c r="G267" s="19" t="s">
        <v>285</v>
      </c>
      <c r="H267" s="19" t="n">
        <v>14</v>
      </c>
      <c r="I267" s="19" t="s">
        <v>649</v>
      </c>
      <c r="J267" s="19" t="s">
        <v>652</v>
      </c>
    </row>
    <row r="268" customFormat="false" ht="15" hidden="false" customHeight="true" outlineLevel="0" collapsed="false">
      <c r="B268" s="19" t="s">
        <v>916</v>
      </c>
      <c r="C268" s="19" t="s">
        <v>236</v>
      </c>
      <c r="D268" s="19" t="s">
        <v>237</v>
      </c>
      <c r="E268" s="19" t="s">
        <v>62</v>
      </c>
      <c r="F268" s="19" t="s">
        <v>63</v>
      </c>
      <c r="G268" s="19" t="s">
        <v>300</v>
      </c>
      <c r="H268" s="19" t="n">
        <v>11</v>
      </c>
      <c r="I268" s="19" t="s">
        <v>649</v>
      </c>
      <c r="J268" s="19" t="s">
        <v>652</v>
      </c>
    </row>
    <row r="269" customFormat="false" ht="15" hidden="false" customHeight="true" outlineLevel="0" collapsed="false">
      <c r="B269" s="19" t="s">
        <v>917</v>
      </c>
      <c r="C269" s="19" t="s">
        <v>253</v>
      </c>
      <c r="D269" s="19" t="s">
        <v>254</v>
      </c>
      <c r="E269" s="19" t="s">
        <v>62</v>
      </c>
      <c r="F269" s="19" t="s">
        <v>63</v>
      </c>
      <c r="G269" s="19" t="s">
        <v>279</v>
      </c>
      <c r="H269" s="19" t="n">
        <v>14</v>
      </c>
      <c r="I269" s="19" t="s">
        <v>649</v>
      </c>
      <c r="J269" s="19" t="s">
        <v>652</v>
      </c>
    </row>
    <row r="270" customFormat="false" ht="15" hidden="false" customHeight="true" outlineLevel="0" collapsed="false">
      <c r="B270" s="19" t="s">
        <v>918</v>
      </c>
      <c r="C270" s="19" t="s">
        <v>258</v>
      </c>
      <c r="D270" s="19" t="s">
        <v>259</v>
      </c>
      <c r="E270" s="19" t="s">
        <v>53</v>
      </c>
      <c r="F270" s="19" t="s">
        <v>54</v>
      </c>
      <c r="G270" s="19" t="s">
        <v>331</v>
      </c>
      <c r="H270" s="19" t="n">
        <v>12</v>
      </c>
      <c r="I270" s="19" t="s">
        <v>649</v>
      </c>
      <c r="J270" s="19" t="s">
        <v>652</v>
      </c>
    </row>
    <row r="271" customFormat="false" ht="15" hidden="false" customHeight="true" outlineLevel="0" collapsed="false">
      <c r="B271" s="19" t="s">
        <v>919</v>
      </c>
      <c r="C271" s="19" t="s">
        <v>227</v>
      </c>
      <c r="D271" s="19" t="s">
        <v>228</v>
      </c>
      <c r="E271" s="19" t="s">
        <v>62</v>
      </c>
      <c r="F271" s="19" t="s">
        <v>63</v>
      </c>
      <c r="G271" s="19" t="s">
        <v>331</v>
      </c>
      <c r="H271" s="19" t="n">
        <v>13</v>
      </c>
      <c r="I271" s="19" t="s">
        <v>649</v>
      </c>
      <c r="J271" s="19" t="s">
        <v>652</v>
      </c>
    </row>
    <row r="272" customFormat="false" ht="15" hidden="false" customHeight="true" outlineLevel="0" collapsed="false">
      <c r="B272" s="19" t="s">
        <v>920</v>
      </c>
      <c r="C272" s="19" t="s">
        <v>255</v>
      </c>
      <c r="D272" s="19" t="s">
        <v>256</v>
      </c>
      <c r="E272" s="19" t="s">
        <v>53</v>
      </c>
      <c r="F272" s="19" t="s">
        <v>54</v>
      </c>
      <c r="G272" s="19" t="s">
        <v>312</v>
      </c>
      <c r="H272" s="19" t="n">
        <v>13</v>
      </c>
      <c r="I272" s="19" t="s">
        <v>649</v>
      </c>
      <c r="J272" s="19" t="s">
        <v>652</v>
      </c>
    </row>
    <row r="273" customFormat="false" ht="15" hidden="false" customHeight="true" outlineLevel="0" collapsed="false">
      <c r="B273" s="19" t="s">
        <v>921</v>
      </c>
      <c r="C273" s="19" t="s">
        <v>231</v>
      </c>
      <c r="D273" s="19" t="s">
        <v>232</v>
      </c>
      <c r="E273" s="19" t="s">
        <v>66</v>
      </c>
      <c r="F273" s="19" t="s">
        <v>67</v>
      </c>
      <c r="G273" s="19" t="s">
        <v>285</v>
      </c>
      <c r="H273" s="19" t="n">
        <v>14</v>
      </c>
      <c r="I273" s="19" t="s">
        <v>654</v>
      </c>
      <c r="J273" s="19" t="s">
        <v>652</v>
      </c>
    </row>
    <row r="274" customFormat="false" ht="15" hidden="false" customHeight="true" outlineLevel="0" collapsed="false">
      <c r="B274" s="19" t="s">
        <v>922</v>
      </c>
      <c r="C274" s="19" t="s">
        <v>249</v>
      </c>
      <c r="D274" s="19" t="s">
        <v>250</v>
      </c>
      <c r="E274" s="19" t="s">
        <v>66</v>
      </c>
      <c r="F274" s="19" t="s">
        <v>67</v>
      </c>
      <c r="G274" s="19" t="s">
        <v>289</v>
      </c>
      <c r="H274" s="19" t="n">
        <v>12</v>
      </c>
      <c r="I274" s="19" t="s">
        <v>649</v>
      </c>
      <c r="J274" s="19" t="s">
        <v>652</v>
      </c>
    </row>
    <row r="275" customFormat="false" ht="15" hidden="false" customHeight="true" outlineLevel="0" collapsed="false">
      <c r="B275" s="19" t="s">
        <v>923</v>
      </c>
      <c r="C275" s="19" t="s">
        <v>267</v>
      </c>
      <c r="D275" s="19" t="s">
        <v>268</v>
      </c>
      <c r="E275" s="19" t="s">
        <v>58</v>
      </c>
      <c r="F275" s="19" t="s">
        <v>59</v>
      </c>
      <c r="G275" s="19" t="s">
        <v>300</v>
      </c>
      <c r="H275" s="19" t="n">
        <v>12</v>
      </c>
      <c r="I275" s="19" t="s">
        <v>654</v>
      </c>
      <c r="J275" s="19" t="s">
        <v>652</v>
      </c>
    </row>
    <row r="276" customFormat="false" ht="15" hidden="false" customHeight="true" outlineLevel="0" collapsed="false">
      <c r="B276" s="19" t="s">
        <v>924</v>
      </c>
      <c r="C276" s="19" t="s">
        <v>227</v>
      </c>
      <c r="D276" s="19" t="s">
        <v>228</v>
      </c>
      <c r="E276" s="19" t="s">
        <v>62</v>
      </c>
      <c r="F276" s="19" t="s">
        <v>63</v>
      </c>
      <c r="G276" s="19" t="s">
        <v>285</v>
      </c>
      <c r="H276" s="19" t="n">
        <v>13</v>
      </c>
      <c r="I276" s="19" t="s">
        <v>649</v>
      </c>
      <c r="J276" s="19" t="s">
        <v>652</v>
      </c>
    </row>
    <row r="277" customFormat="false" ht="15" hidden="false" customHeight="true" outlineLevel="0" collapsed="false">
      <c r="B277" s="19" t="s">
        <v>925</v>
      </c>
      <c r="C277" s="19" t="s">
        <v>233</v>
      </c>
      <c r="D277" s="19" t="s">
        <v>234</v>
      </c>
      <c r="E277" s="19" t="s">
        <v>66</v>
      </c>
      <c r="F277" s="19" t="s">
        <v>67</v>
      </c>
      <c r="G277" s="19" t="s">
        <v>331</v>
      </c>
      <c r="H277" s="19" t="n">
        <v>13</v>
      </c>
      <c r="I277" s="19" t="s">
        <v>654</v>
      </c>
      <c r="J277" s="19" t="s">
        <v>652</v>
      </c>
    </row>
    <row r="278" customFormat="false" ht="15" hidden="false" customHeight="true" outlineLevel="0" collapsed="false">
      <c r="B278" s="19" t="s">
        <v>926</v>
      </c>
      <c r="C278" s="19" t="s">
        <v>227</v>
      </c>
      <c r="D278" s="19" t="s">
        <v>228</v>
      </c>
      <c r="E278" s="19" t="s">
        <v>53</v>
      </c>
      <c r="F278" s="19" t="s">
        <v>54</v>
      </c>
      <c r="G278" s="19" t="s">
        <v>309</v>
      </c>
      <c r="H278" s="19" t="n">
        <v>25</v>
      </c>
      <c r="I278" s="19" t="s">
        <v>649</v>
      </c>
      <c r="J278" s="19" t="s">
        <v>652</v>
      </c>
    </row>
    <row r="279" customFormat="false" ht="15" hidden="false" customHeight="true" outlineLevel="0" collapsed="false">
      <c r="B279" s="19" t="s">
        <v>927</v>
      </c>
      <c r="C279" s="19" t="s">
        <v>227</v>
      </c>
      <c r="D279" s="19" t="s">
        <v>228</v>
      </c>
      <c r="E279" s="19" t="s">
        <v>58</v>
      </c>
      <c r="F279" s="19" t="s">
        <v>59</v>
      </c>
      <c r="G279" s="19" t="s">
        <v>287</v>
      </c>
      <c r="H279" s="19" t="n">
        <v>9</v>
      </c>
      <c r="I279" s="19" t="s">
        <v>649</v>
      </c>
      <c r="J279" s="19" t="s">
        <v>652</v>
      </c>
    </row>
    <row r="280" customFormat="false" ht="15" hidden="false" customHeight="true" outlineLevel="0" collapsed="false">
      <c r="B280" s="19" t="s">
        <v>928</v>
      </c>
      <c r="C280" s="19" t="s">
        <v>223</v>
      </c>
      <c r="D280" s="19" t="s">
        <v>224</v>
      </c>
      <c r="E280" s="19" t="s">
        <v>58</v>
      </c>
      <c r="F280" s="19" t="s">
        <v>59</v>
      </c>
      <c r="G280" s="19" t="s">
        <v>289</v>
      </c>
      <c r="H280" s="19" t="n">
        <v>32</v>
      </c>
      <c r="I280" s="19" t="s">
        <v>649</v>
      </c>
      <c r="J280" s="19" t="s">
        <v>652</v>
      </c>
    </row>
    <row r="281" customFormat="false" ht="15" hidden="false" customHeight="true" outlineLevel="0" collapsed="false">
      <c r="B281" s="19" t="s">
        <v>929</v>
      </c>
      <c r="C281" s="19" t="s">
        <v>264</v>
      </c>
      <c r="D281" s="19" t="s">
        <v>265</v>
      </c>
      <c r="E281" s="19" t="s">
        <v>53</v>
      </c>
      <c r="F281" s="19" t="s">
        <v>54</v>
      </c>
      <c r="G281" s="19" t="s">
        <v>287</v>
      </c>
      <c r="H281" s="19" t="n">
        <v>11</v>
      </c>
      <c r="I281" s="19" t="s">
        <v>649</v>
      </c>
      <c r="J281" s="19" t="s">
        <v>652</v>
      </c>
    </row>
    <row r="282" customFormat="false" ht="15" hidden="false" customHeight="true" outlineLevel="0" collapsed="false">
      <c r="B282" s="19" t="s">
        <v>930</v>
      </c>
      <c r="C282" s="19" t="s">
        <v>231</v>
      </c>
      <c r="D282" s="19" t="s">
        <v>232</v>
      </c>
      <c r="E282" s="19" t="s">
        <v>42</v>
      </c>
      <c r="F282" s="19" t="s">
        <v>43</v>
      </c>
      <c r="G282" s="19" t="s">
        <v>287</v>
      </c>
      <c r="H282" s="19" t="n">
        <v>16</v>
      </c>
      <c r="I282" s="19" t="s">
        <v>649</v>
      </c>
      <c r="J282" s="19" t="s">
        <v>652</v>
      </c>
    </row>
    <row r="283" customFormat="false" ht="15" hidden="false" customHeight="true" outlineLevel="0" collapsed="false">
      <c r="B283" s="19" t="s">
        <v>931</v>
      </c>
      <c r="C283" s="19" t="s">
        <v>264</v>
      </c>
      <c r="D283" s="19" t="s">
        <v>265</v>
      </c>
      <c r="E283" s="19" t="s">
        <v>58</v>
      </c>
      <c r="F283" s="19" t="s">
        <v>59</v>
      </c>
      <c r="G283" s="19" t="s">
        <v>295</v>
      </c>
      <c r="H283" s="19" t="n">
        <v>14</v>
      </c>
      <c r="I283" s="19" t="s">
        <v>649</v>
      </c>
      <c r="J283" s="19" t="s">
        <v>652</v>
      </c>
    </row>
    <row r="284" customFormat="false" ht="15" hidden="false" customHeight="true" outlineLevel="0" collapsed="false">
      <c r="B284" s="19" t="s">
        <v>932</v>
      </c>
      <c r="C284" s="19" t="s">
        <v>242</v>
      </c>
      <c r="D284" s="19" t="s">
        <v>243</v>
      </c>
      <c r="E284" s="19" t="s">
        <v>53</v>
      </c>
      <c r="F284" s="19" t="s">
        <v>54</v>
      </c>
      <c r="G284" s="19" t="s">
        <v>295</v>
      </c>
      <c r="H284" s="19" t="n">
        <v>21</v>
      </c>
      <c r="I284" s="19" t="s">
        <v>649</v>
      </c>
      <c r="J284" s="19" t="s">
        <v>652</v>
      </c>
    </row>
    <row r="285" customFormat="false" ht="15" hidden="false" customHeight="true" outlineLevel="0" collapsed="false">
      <c r="B285" s="19" t="s">
        <v>933</v>
      </c>
      <c r="C285" s="19" t="s">
        <v>261</v>
      </c>
      <c r="D285" s="19" t="s">
        <v>262</v>
      </c>
      <c r="E285" s="19" t="s">
        <v>42</v>
      </c>
      <c r="F285" s="19" t="s">
        <v>43</v>
      </c>
      <c r="G285" s="19" t="s">
        <v>293</v>
      </c>
      <c r="H285" s="19" t="n">
        <v>17</v>
      </c>
      <c r="I285" s="19" t="s">
        <v>649</v>
      </c>
      <c r="J285" s="19" t="s">
        <v>652</v>
      </c>
    </row>
    <row r="286" customFormat="false" ht="15" hidden="false" customHeight="true" outlineLevel="0" collapsed="false">
      <c r="B286" s="19" t="s">
        <v>934</v>
      </c>
      <c r="C286" s="19" t="s">
        <v>231</v>
      </c>
      <c r="D286" s="19" t="s">
        <v>232</v>
      </c>
      <c r="E286" s="19" t="s">
        <v>66</v>
      </c>
      <c r="F286" s="19" t="s">
        <v>67</v>
      </c>
      <c r="G286" s="19" t="s">
        <v>279</v>
      </c>
      <c r="H286" s="19" t="n">
        <v>6</v>
      </c>
      <c r="I286" s="19" t="s">
        <v>649</v>
      </c>
      <c r="J286" s="19" t="s">
        <v>652</v>
      </c>
    </row>
    <row r="287" customFormat="false" ht="15" hidden="false" customHeight="true" outlineLevel="0" collapsed="false">
      <c r="B287" s="19" t="s">
        <v>935</v>
      </c>
      <c r="C287" s="19" t="s">
        <v>242</v>
      </c>
      <c r="D287" s="19" t="s">
        <v>243</v>
      </c>
      <c r="E287" s="19" t="s">
        <v>58</v>
      </c>
      <c r="F287" s="19" t="s">
        <v>59</v>
      </c>
      <c r="G287" s="19" t="s">
        <v>285</v>
      </c>
      <c r="H287" s="19" t="n">
        <v>15</v>
      </c>
      <c r="I287" s="19" t="s">
        <v>649</v>
      </c>
      <c r="J287" s="19" t="s">
        <v>652</v>
      </c>
    </row>
    <row r="288" customFormat="false" ht="15" hidden="false" customHeight="true" outlineLevel="0" collapsed="false">
      <c r="B288" s="19" t="s">
        <v>936</v>
      </c>
      <c r="C288" s="19" t="s">
        <v>258</v>
      </c>
      <c r="D288" s="19" t="s">
        <v>259</v>
      </c>
      <c r="E288" s="19" t="s">
        <v>66</v>
      </c>
      <c r="F288" s="19" t="s">
        <v>67</v>
      </c>
      <c r="G288" s="19" t="s">
        <v>285</v>
      </c>
      <c r="H288" s="19" t="n">
        <v>10</v>
      </c>
      <c r="I288" s="19" t="s">
        <v>649</v>
      </c>
      <c r="J288" s="19" t="s">
        <v>652</v>
      </c>
    </row>
    <row r="289" customFormat="false" ht="15" hidden="false" customHeight="true" outlineLevel="0" collapsed="false">
      <c r="B289" s="19" t="s">
        <v>937</v>
      </c>
      <c r="C289" s="19" t="s">
        <v>245</v>
      </c>
      <c r="D289" s="19" t="s">
        <v>246</v>
      </c>
      <c r="E289" s="19" t="s">
        <v>53</v>
      </c>
      <c r="F289" s="19" t="s">
        <v>54</v>
      </c>
      <c r="G289" s="19" t="s">
        <v>279</v>
      </c>
      <c r="H289" s="19" t="n">
        <v>10</v>
      </c>
      <c r="I289" s="19" t="s">
        <v>649</v>
      </c>
      <c r="J289" s="19" t="s">
        <v>652</v>
      </c>
    </row>
    <row r="290" customFormat="false" ht="15" hidden="false" customHeight="true" outlineLevel="0" collapsed="false">
      <c r="B290" s="19" t="s">
        <v>938</v>
      </c>
      <c r="C290" s="19" t="s">
        <v>253</v>
      </c>
      <c r="D290" s="19" t="s">
        <v>254</v>
      </c>
      <c r="E290" s="19" t="s">
        <v>48</v>
      </c>
      <c r="F290" s="19" t="s">
        <v>49</v>
      </c>
      <c r="G290" s="19" t="s">
        <v>300</v>
      </c>
      <c r="H290" s="19" t="n">
        <v>22</v>
      </c>
      <c r="I290" s="19" t="s">
        <v>649</v>
      </c>
      <c r="J290" s="19" t="s">
        <v>652</v>
      </c>
    </row>
    <row r="291" customFormat="false" ht="15" hidden="false" customHeight="true" outlineLevel="0" collapsed="false">
      <c r="B291" s="19" t="s">
        <v>939</v>
      </c>
      <c r="C291" s="19" t="s">
        <v>245</v>
      </c>
      <c r="D291" s="19" t="s">
        <v>246</v>
      </c>
      <c r="E291" s="19" t="s">
        <v>48</v>
      </c>
      <c r="F291" s="19" t="s">
        <v>49</v>
      </c>
      <c r="G291" s="19" t="s">
        <v>279</v>
      </c>
      <c r="H291" s="19" t="n">
        <v>14</v>
      </c>
      <c r="I291" s="19" t="s">
        <v>649</v>
      </c>
      <c r="J291" s="19" t="s">
        <v>652</v>
      </c>
    </row>
    <row r="292" customFormat="false" ht="15" hidden="false" customHeight="true" outlineLevel="0" collapsed="false">
      <c r="B292" s="19" t="s">
        <v>940</v>
      </c>
      <c r="C292" s="19" t="s">
        <v>249</v>
      </c>
      <c r="D292" s="19" t="s">
        <v>250</v>
      </c>
      <c r="E292" s="19" t="s">
        <v>58</v>
      </c>
      <c r="F292" s="19" t="s">
        <v>59</v>
      </c>
      <c r="G292" s="19" t="s">
        <v>295</v>
      </c>
      <c r="H292" s="19" t="n">
        <v>11</v>
      </c>
      <c r="I292" s="19" t="s">
        <v>654</v>
      </c>
      <c r="J292" s="19" t="s">
        <v>652</v>
      </c>
    </row>
    <row r="293" customFormat="false" ht="15" hidden="false" customHeight="true" outlineLevel="0" collapsed="false">
      <c r="B293" s="19" t="s">
        <v>941</v>
      </c>
      <c r="C293" s="19" t="s">
        <v>258</v>
      </c>
      <c r="D293" s="19" t="s">
        <v>259</v>
      </c>
      <c r="E293" s="19" t="s">
        <v>58</v>
      </c>
      <c r="F293" s="19" t="s">
        <v>59</v>
      </c>
      <c r="G293" s="19" t="s">
        <v>287</v>
      </c>
      <c r="H293" s="19" t="n">
        <v>18</v>
      </c>
      <c r="I293" s="19" t="s">
        <v>649</v>
      </c>
      <c r="J293" s="19" t="s">
        <v>652</v>
      </c>
    </row>
    <row r="294" customFormat="false" ht="15" hidden="false" customHeight="true" outlineLevel="0" collapsed="false">
      <c r="B294" s="19" t="s">
        <v>942</v>
      </c>
      <c r="C294" s="19" t="s">
        <v>264</v>
      </c>
      <c r="D294" s="19" t="s">
        <v>265</v>
      </c>
      <c r="E294" s="19" t="s">
        <v>66</v>
      </c>
      <c r="F294" s="19" t="s">
        <v>67</v>
      </c>
      <c r="G294" s="19" t="s">
        <v>300</v>
      </c>
      <c r="H294" s="19" t="n">
        <v>33</v>
      </c>
      <c r="I294" s="19" t="s">
        <v>654</v>
      </c>
      <c r="J294" s="19" t="s">
        <v>652</v>
      </c>
    </row>
    <row r="295" customFormat="false" ht="15" hidden="false" customHeight="true" outlineLevel="0" collapsed="false">
      <c r="B295" s="19" t="s">
        <v>943</v>
      </c>
      <c r="C295" s="19" t="s">
        <v>253</v>
      </c>
      <c r="D295" s="19" t="s">
        <v>254</v>
      </c>
      <c r="E295" s="19" t="s">
        <v>66</v>
      </c>
      <c r="F295" s="19" t="s">
        <v>67</v>
      </c>
      <c r="G295" s="19" t="s">
        <v>295</v>
      </c>
      <c r="H295" s="19" t="n">
        <v>12</v>
      </c>
      <c r="I295" s="19" t="s">
        <v>654</v>
      </c>
      <c r="J295" s="19" t="s">
        <v>652</v>
      </c>
    </row>
    <row r="296" customFormat="false" ht="15" hidden="false" customHeight="true" outlineLevel="0" collapsed="false">
      <c r="B296" s="19" t="s">
        <v>944</v>
      </c>
      <c r="C296" s="19" t="s">
        <v>223</v>
      </c>
      <c r="D296" s="19" t="s">
        <v>224</v>
      </c>
      <c r="E296" s="19" t="s">
        <v>66</v>
      </c>
      <c r="F296" s="19" t="s">
        <v>67</v>
      </c>
      <c r="G296" s="19" t="s">
        <v>309</v>
      </c>
      <c r="H296" s="19" t="n">
        <v>15</v>
      </c>
      <c r="I296" s="19" t="s">
        <v>654</v>
      </c>
      <c r="J296" s="19" t="s">
        <v>652</v>
      </c>
    </row>
    <row r="297" customFormat="false" ht="15" hidden="false" customHeight="true" outlineLevel="0" collapsed="false">
      <c r="B297" s="19" t="s">
        <v>945</v>
      </c>
      <c r="C297" s="19" t="s">
        <v>231</v>
      </c>
      <c r="D297" s="19" t="s">
        <v>232</v>
      </c>
      <c r="E297" s="19" t="s">
        <v>66</v>
      </c>
      <c r="F297" s="19" t="s">
        <v>67</v>
      </c>
      <c r="G297" s="19" t="s">
        <v>331</v>
      </c>
      <c r="H297" s="19" t="n">
        <v>17</v>
      </c>
      <c r="I297" s="19" t="s">
        <v>649</v>
      </c>
      <c r="J297" s="19" t="s">
        <v>652</v>
      </c>
    </row>
    <row r="298" customFormat="false" ht="15" hidden="false" customHeight="true" outlineLevel="0" collapsed="false">
      <c r="B298" s="19" t="s">
        <v>946</v>
      </c>
      <c r="C298" s="19" t="s">
        <v>245</v>
      </c>
      <c r="D298" s="19" t="s">
        <v>246</v>
      </c>
      <c r="E298" s="19" t="s">
        <v>62</v>
      </c>
      <c r="F298" s="19" t="s">
        <v>63</v>
      </c>
      <c r="G298" s="19" t="s">
        <v>287</v>
      </c>
      <c r="H298" s="19" t="n">
        <v>22</v>
      </c>
      <c r="I298" s="19" t="s">
        <v>649</v>
      </c>
      <c r="J298" s="19" t="s">
        <v>652</v>
      </c>
    </row>
    <row r="299" customFormat="false" ht="15" hidden="false" customHeight="true" outlineLevel="0" collapsed="false">
      <c r="B299" s="19" t="s">
        <v>947</v>
      </c>
      <c r="C299" s="19" t="s">
        <v>253</v>
      </c>
      <c r="D299" s="19" t="s">
        <v>254</v>
      </c>
      <c r="E299" s="19" t="s">
        <v>42</v>
      </c>
      <c r="F299" s="19" t="s">
        <v>43</v>
      </c>
      <c r="G299" s="19" t="s">
        <v>293</v>
      </c>
      <c r="H299" s="19" t="n">
        <v>24</v>
      </c>
      <c r="I299" s="19" t="s">
        <v>649</v>
      </c>
      <c r="J299" s="19" t="s">
        <v>652</v>
      </c>
    </row>
    <row r="300" customFormat="false" ht="15" hidden="false" customHeight="true" outlineLevel="0" collapsed="false">
      <c r="B300" s="19" t="s">
        <v>948</v>
      </c>
      <c r="C300" s="19" t="s">
        <v>236</v>
      </c>
      <c r="D300" s="19" t="s">
        <v>237</v>
      </c>
      <c r="E300" s="19" t="s">
        <v>48</v>
      </c>
      <c r="F300" s="19" t="s">
        <v>49</v>
      </c>
      <c r="G300" s="19" t="s">
        <v>291</v>
      </c>
      <c r="H300" s="19" t="n">
        <v>8</v>
      </c>
      <c r="I300" s="19" t="s">
        <v>654</v>
      </c>
      <c r="J300" s="19" t="s">
        <v>652</v>
      </c>
    </row>
    <row r="301" customFormat="false" ht="15" hidden="false" customHeight="true" outlineLevel="0" collapsed="false">
      <c r="B301" s="19" t="s">
        <v>949</v>
      </c>
      <c r="C301" s="19" t="s">
        <v>253</v>
      </c>
      <c r="D301" s="19" t="s">
        <v>254</v>
      </c>
      <c r="E301" s="19" t="s">
        <v>62</v>
      </c>
      <c r="F301" s="19" t="s">
        <v>63</v>
      </c>
      <c r="G301" s="19" t="s">
        <v>312</v>
      </c>
      <c r="H301" s="19" t="n">
        <v>28</v>
      </c>
      <c r="I301" s="19" t="s">
        <v>649</v>
      </c>
      <c r="J301" s="19" t="s">
        <v>652</v>
      </c>
    </row>
    <row r="302" customFormat="false" ht="15" hidden="false" customHeight="true" outlineLevel="0" collapsed="false">
      <c r="B302" s="19" t="s">
        <v>950</v>
      </c>
      <c r="C302" s="19" t="s">
        <v>253</v>
      </c>
      <c r="D302" s="19" t="s">
        <v>254</v>
      </c>
      <c r="E302" s="19" t="s">
        <v>48</v>
      </c>
      <c r="F302" s="19" t="s">
        <v>49</v>
      </c>
      <c r="G302" s="19" t="s">
        <v>279</v>
      </c>
      <c r="H302" s="19" t="n">
        <v>25</v>
      </c>
      <c r="I302" s="19" t="s">
        <v>649</v>
      </c>
      <c r="J302" s="19" t="s">
        <v>652</v>
      </c>
    </row>
    <row r="303" customFormat="false" ht="15" hidden="false" customHeight="true" outlineLevel="0" collapsed="false">
      <c r="B303" s="19" t="s">
        <v>951</v>
      </c>
      <c r="C303" s="19" t="s">
        <v>236</v>
      </c>
      <c r="D303" s="19" t="s">
        <v>237</v>
      </c>
      <c r="E303" s="19" t="s">
        <v>48</v>
      </c>
      <c r="F303" s="19" t="s">
        <v>49</v>
      </c>
      <c r="G303" s="19" t="s">
        <v>279</v>
      </c>
      <c r="H303" s="19" t="n">
        <v>16</v>
      </c>
      <c r="I303" s="19" t="s">
        <v>649</v>
      </c>
      <c r="J303" s="19" t="s">
        <v>652</v>
      </c>
    </row>
    <row r="304" customFormat="false" ht="15" hidden="false" customHeight="true" outlineLevel="0" collapsed="false">
      <c r="B304" s="19" t="s">
        <v>952</v>
      </c>
      <c r="C304" s="19" t="s">
        <v>227</v>
      </c>
      <c r="D304" s="19" t="s">
        <v>228</v>
      </c>
      <c r="E304" s="19" t="s">
        <v>53</v>
      </c>
      <c r="F304" s="19" t="s">
        <v>54</v>
      </c>
      <c r="G304" s="19" t="s">
        <v>279</v>
      </c>
      <c r="H304" s="19" t="n">
        <v>22</v>
      </c>
      <c r="I304" s="19" t="s">
        <v>649</v>
      </c>
      <c r="J304" s="19" t="s">
        <v>652</v>
      </c>
    </row>
    <row r="305" customFormat="false" ht="15" hidden="false" customHeight="true" outlineLevel="0" collapsed="false">
      <c r="B305" s="19" t="s">
        <v>953</v>
      </c>
      <c r="C305" s="19" t="s">
        <v>261</v>
      </c>
      <c r="D305" s="19" t="s">
        <v>262</v>
      </c>
      <c r="E305" s="19" t="s">
        <v>66</v>
      </c>
      <c r="F305" s="19" t="s">
        <v>67</v>
      </c>
      <c r="G305" s="19" t="s">
        <v>283</v>
      </c>
      <c r="H305" s="19" t="n">
        <v>32</v>
      </c>
      <c r="I305" s="19" t="s">
        <v>649</v>
      </c>
      <c r="J305" s="19" t="s">
        <v>652</v>
      </c>
    </row>
    <row r="306" customFormat="false" ht="15" hidden="false" customHeight="true" outlineLevel="0" collapsed="false">
      <c r="B306" s="19" t="s">
        <v>954</v>
      </c>
      <c r="C306" s="19" t="s">
        <v>261</v>
      </c>
      <c r="D306" s="19" t="s">
        <v>262</v>
      </c>
      <c r="E306" s="19" t="s">
        <v>58</v>
      </c>
      <c r="F306" s="19" t="s">
        <v>59</v>
      </c>
      <c r="G306" s="19" t="s">
        <v>331</v>
      </c>
      <c r="H306" s="19" t="n">
        <v>33</v>
      </c>
      <c r="I306" s="19" t="s">
        <v>654</v>
      </c>
      <c r="J306" s="19" t="s">
        <v>652</v>
      </c>
    </row>
    <row r="307" customFormat="false" ht="15" hidden="false" customHeight="true" outlineLevel="0" collapsed="false">
      <c r="B307" s="19" t="s">
        <v>955</v>
      </c>
      <c r="C307" s="19" t="s">
        <v>249</v>
      </c>
      <c r="D307" s="19" t="s">
        <v>250</v>
      </c>
      <c r="E307" s="19" t="s">
        <v>62</v>
      </c>
      <c r="F307" s="19" t="s">
        <v>63</v>
      </c>
      <c r="G307" s="19" t="s">
        <v>331</v>
      </c>
      <c r="H307" s="19" t="n">
        <v>13</v>
      </c>
      <c r="I307" s="19" t="s">
        <v>649</v>
      </c>
      <c r="J307" s="19" t="s">
        <v>652</v>
      </c>
    </row>
    <row r="308" customFormat="false" ht="15" hidden="false" customHeight="true" outlineLevel="0" collapsed="false">
      <c r="B308" s="19" t="s">
        <v>956</v>
      </c>
      <c r="C308" s="19" t="s">
        <v>236</v>
      </c>
      <c r="D308" s="19" t="s">
        <v>237</v>
      </c>
      <c r="E308" s="19" t="s">
        <v>66</v>
      </c>
      <c r="F308" s="19" t="s">
        <v>67</v>
      </c>
      <c r="G308" s="19" t="s">
        <v>279</v>
      </c>
      <c r="H308" s="19" t="n">
        <v>11</v>
      </c>
      <c r="I308" s="19" t="s">
        <v>649</v>
      </c>
      <c r="J308" s="19" t="s">
        <v>652</v>
      </c>
    </row>
    <row r="309" customFormat="false" ht="15" hidden="false" customHeight="true" outlineLevel="0" collapsed="false">
      <c r="B309" s="19" t="s">
        <v>957</v>
      </c>
      <c r="C309" s="19" t="s">
        <v>242</v>
      </c>
      <c r="D309" s="19" t="s">
        <v>243</v>
      </c>
      <c r="E309" s="19" t="s">
        <v>58</v>
      </c>
      <c r="F309" s="19" t="s">
        <v>59</v>
      </c>
      <c r="G309" s="19" t="s">
        <v>279</v>
      </c>
      <c r="H309" s="19" t="n">
        <v>16</v>
      </c>
      <c r="I309" s="19" t="s">
        <v>649</v>
      </c>
      <c r="J309" s="19" t="s">
        <v>652</v>
      </c>
    </row>
    <row r="310" customFormat="false" ht="15" hidden="false" customHeight="true" outlineLevel="0" collapsed="false">
      <c r="B310" s="19" t="s">
        <v>958</v>
      </c>
      <c r="C310" s="19" t="s">
        <v>249</v>
      </c>
      <c r="D310" s="19" t="s">
        <v>250</v>
      </c>
      <c r="E310" s="19" t="s">
        <v>62</v>
      </c>
      <c r="F310" s="19" t="s">
        <v>63</v>
      </c>
      <c r="G310" s="19" t="s">
        <v>309</v>
      </c>
      <c r="H310" s="19" t="n">
        <v>15</v>
      </c>
      <c r="I310" s="19" t="s">
        <v>649</v>
      </c>
      <c r="J310" s="19" t="s">
        <v>652</v>
      </c>
    </row>
    <row r="311" customFormat="false" ht="15" hidden="false" customHeight="true" outlineLevel="0" collapsed="false">
      <c r="B311" s="19" t="s">
        <v>959</v>
      </c>
      <c r="C311" s="19" t="s">
        <v>242</v>
      </c>
      <c r="D311" s="19" t="s">
        <v>243</v>
      </c>
      <c r="E311" s="19" t="s">
        <v>62</v>
      </c>
      <c r="F311" s="19" t="s">
        <v>63</v>
      </c>
      <c r="G311" s="19" t="s">
        <v>287</v>
      </c>
      <c r="H311" s="19" t="n">
        <v>16</v>
      </c>
      <c r="I311" s="19" t="s">
        <v>649</v>
      </c>
      <c r="J311" s="19" t="s">
        <v>652</v>
      </c>
    </row>
    <row r="312" customFormat="false" ht="15" hidden="false" customHeight="true" outlineLevel="0" collapsed="false">
      <c r="B312" s="19" t="s">
        <v>960</v>
      </c>
      <c r="C312" s="19" t="s">
        <v>231</v>
      </c>
      <c r="D312" s="19" t="s">
        <v>232</v>
      </c>
      <c r="E312" s="19" t="s">
        <v>42</v>
      </c>
      <c r="F312" s="19" t="s">
        <v>43</v>
      </c>
      <c r="G312" s="19" t="s">
        <v>289</v>
      </c>
      <c r="H312" s="19" t="n">
        <v>39</v>
      </c>
      <c r="I312" s="19" t="s">
        <v>649</v>
      </c>
      <c r="J312" s="19" t="s">
        <v>652</v>
      </c>
    </row>
    <row r="313" customFormat="false" ht="15" hidden="false" customHeight="true" outlineLevel="0" collapsed="false">
      <c r="B313" s="19" t="s">
        <v>961</v>
      </c>
      <c r="C313" s="19" t="s">
        <v>264</v>
      </c>
      <c r="D313" s="19" t="s">
        <v>265</v>
      </c>
      <c r="E313" s="19" t="s">
        <v>53</v>
      </c>
      <c r="F313" s="19" t="s">
        <v>54</v>
      </c>
      <c r="G313" s="19" t="s">
        <v>285</v>
      </c>
      <c r="H313" s="19" t="n">
        <v>12</v>
      </c>
      <c r="I313" s="19" t="s">
        <v>649</v>
      </c>
      <c r="J313" s="19" t="s">
        <v>652</v>
      </c>
    </row>
    <row r="314" customFormat="false" ht="15" hidden="false" customHeight="true" outlineLevel="0" collapsed="false">
      <c r="B314" s="19" t="s">
        <v>962</v>
      </c>
      <c r="C314" s="19" t="s">
        <v>264</v>
      </c>
      <c r="D314" s="19" t="s">
        <v>265</v>
      </c>
      <c r="E314" s="19" t="s">
        <v>53</v>
      </c>
      <c r="F314" s="19" t="s">
        <v>54</v>
      </c>
      <c r="G314" s="19" t="s">
        <v>279</v>
      </c>
      <c r="H314" s="19" t="n">
        <v>17</v>
      </c>
      <c r="I314" s="19" t="s">
        <v>649</v>
      </c>
      <c r="J314" s="19" t="s">
        <v>652</v>
      </c>
    </row>
    <row r="315" customFormat="false" ht="15" hidden="false" customHeight="true" outlineLevel="0" collapsed="false">
      <c r="B315" s="19" t="s">
        <v>963</v>
      </c>
      <c r="C315" s="19" t="s">
        <v>249</v>
      </c>
      <c r="D315" s="19" t="s">
        <v>250</v>
      </c>
      <c r="E315" s="19" t="s">
        <v>58</v>
      </c>
      <c r="F315" s="19" t="s">
        <v>59</v>
      </c>
      <c r="G315" s="19" t="s">
        <v>279</v>
      </c>
      <c r="H315" s="19" t="n">
        <v>35</v>
      </c>
      <c r="I315" s="19" t="s">
        <v>649</v>
      </c>
      <c r="J315" s="19" t="s">
        <v>652</v>
      </c>
    </row>
    <row r="316" customFormat="false" ht="15" hidden="false" customHeight="true" outlineLevel="0" collapsed="false">
      <c r="B316" s="19" t="s">
        <v>964</v>
      </c>
      <c r="C316" s="19" t="s">
        <v>238</v>
      </c>
      <c r="D316" s="19" t="s">
        <v>239</v>
      </c>
      <c r="E316" s="19" t="s">
        <v>53</v>
      </c>
      <c r="F316" s="19" t="s">
        <v>54</v>
      </c>
      <c r="G316" s="19" t="s">
        <v>287</v>
      </c>
      <c r="H316" s="19" t="n">
        <v>36</v>
      </c>
      <c r="I316" s="19" t="s">
        <v>649</v>
      </c>
      <c r="J316" s="19" t="s">
        <v>652</v>
      </c>
    </row>
    <row r="317" customFormat="false" ht="15" hidden="false" customHeight="true" outlineLevel="0" collapsed="false">
      <c r="B317" s="19" t="s">
        <v>965</v>
      </c>
      <c r="C317" s="19" t="s">
        <v>236</v>
      </c>
      <c r="D317" s="19" t="s">
        <v>237</v>
      </c>
      <c r="E317" s="19" t="s">
        <v>58</v>
      </c>
      <c r="F317" s="19" t="s">
        <v>59</v>
      </c>
      <c r="G317" s="19" t="s">
        <v>295</v>
      </c>
      <c r="H317" s="19" t="n">
        <v>16</v>
      </c>
      <c r="I317" s="19" t="s">
        <v>654</v>
      </c>
      <c r="J317" s="19" t="s">
        <v>652</v>
      </c>
    </row>
    <row r="318" customFormat="false" ht="15" hidden="false" customHeight="true" outlineLevel="0" collapsed="false">
      <c r="B318" s="19" t="s">
        <v>966</v>
      </c>
      <c r="C318" s="19" t="s">
        <v>245</v>
      </c>
      <c r="D318" s="19" t="s">
        <v>246</v>
      </c>
      <c r="E318" s="19" t="s">
        <v>48</v>
      </c>
      <c r="F318" s="19" t="s">
        <v>49</v>
      </c>
      <c r="G318" s="19" t="s">
        <v>300</v>
      </c>
      <c r="H318" s="19" t="n">
        <v>12</v>
      </c>
      <c r="I318" s="19" t="s">
        <v>654</v>
      </c>
      <c r="J318" s="19" t="s">
        <v>652</v>
      </c>
    </row>
    <row r="319" customFormat="false" ht="15" hidden="false" customHeight="true" outlineLevel="0" collapsed="false">
      <c r="B319" s="19" t="s">
        <v>967</v>
      </c>
      <c r="C319" s="19" t="s">
        <v>223</v>
      </c>
      <c r="D319" s="19" t="s">
        <v>224</v>
      </c>
      <c r="E319" s="19" t="s">
        <v>48</v>
      </c>
      <c r="F319" s="19" t="s">
        <v>49</v>
      </c>
      <c r="G319" s="19" t="s">
        <v>295</v>
      </c>
      <c r="H319" s="19" t="n">
        <v>14</v>
      </c>
      <c r="I319" s="19" t="s">
        <v>654</v>
      </c>
      <c r="J319" s="19" t="s">
        <v>652</v>
      </c>
    </row>
    <row r="320" customFormat="false" ht="15" hidden="false" customHeight="true" outlineLevel="0" collapsed="false">
      <c r="B320" s="19" t="s">
        <v>968</v>
      </c>
      <c r="C320" s="19" t="s">
        <v>264</v>
      </c>
      <c r="D320" s="19" t="s">
        <v>265</v>
      </c>
      <c r="E320" s="19" t="s">
        <v>48</v>
      </c>
      <c r="F320" s="19" t="s">
        <v>49</v>
      </c>
      <c r="G320" s="19" t="s">
        <v>291</v>
      </c>
      <c r="H320" s="19" t="n">
        <v>9</v>
      </c>
      <c r="I320" s="19" t="s">
        <v>654</v>
      </c>
      <c r="J320" s="19" t="s">
        <v>652</v>
      </c>
    </row>
    <row r="321" customFormat="false" ht="15" hidden="false" customHeight="true" outlineLevel="0" collapsed="false">
      <c r="B321" s="19" t="s">
        <v>969</v>
      </c>
      <c r="C321" s="19" t="s">
        <v>267</v>
      </c>
      <c r="D321" s="19" t="s">
        <v>268</v>
      </c>
      <c r="E321" s="19" t="s">
        <v>48</v>
      </c>
      <c r="F321" s="19" t="s">
        <v>49</v>
      </c>
      <c r="G321" s="19" t="s">
        <v>285</v>
      </c>
      <c r="H321" s="19" t="n">
        <v>16</v>
      </c>
      <c r="I321" s="19" t="s">
        <v>649</v>
      </c>
      <c r="J321" s="19" t="s">
        <v>652</v>
      </c>
    </row>
    <row r="322" customFormat="false" ht="15" hidden="false" customHeight="true" outlineLevel="0" collapsed="false">
      <c r="B322" s="19" t="s">
        <v>970</v>
      </c>
      <c r="C322" s="19" t="s">
        <v>255</v>
      </c>
      <c r="D322" s="19" t="s">
        <v>256</v>
      </c>
      <c r="E322" s="19" t="s">
        <v>48</v>
      </c>
      <c r="F322" s="19" t="s">
        <v>49</v>
      </c>
      <c r="G322" s="19" t="s">
        <v>291</v>
      </c>
      <c r="H322" s="19" t="n">
        <v>21</v>
      </c>
      <c r="I322" s="19" t="s">
        <v>649</v>
      </c>
      <c r="J322" s="19" t="s">
        <v>652</v>
      </c>
    </row>
    <row r="323" customFormat="false" ht="15" hidden="false" customHeight="true" outlineLevel="0" collapsed="false">
      <c r="B323" s="19" t="s">
        <v>971</v>
      </c>
      <c r="C323" s="19" t="s">
        <v>255</v>
      </c>
      <c r="D323" s="19" t="s">
        <v>256</v>
      </c>
      <c r="E323" s="19" t="s">
        <v>66</v>
      </c>
      <c r="F323" s="19" t="s">
        <v>67</v>
      </c>
      <c r="G323" s="19" t="s">
        <v>285</v>
      </c>
      <c r="H323" s="19" t="n">
        <v>14</v>
      </c>
      <c r="I323" s="19" t="s">
        <v>649</v>
      </c>
      <c r="J323" s="19" t="s">
        <v>652</v>
      </c>
    </row>
    <row r="324" customFormat="false" ht="15" hidden="false" customHeight="true" outlineLevel="0" collapsed="false">
      <c r="B324" s="19" t="s">
        <v>972</v>
      </c>
      <c r="C324" s="19" t="s">
        <v>245</v>
      </c>
      <c r="D324" s="19" t="s">
        <v>246</v>
      </c>
      <c r="E324" s="19" t="s">
        <v>62</v>
      </c>
      <c r="F324" s="19" t="s">
        <v>63</v>
      </c>
      <c r="G324" s="19" t="s">
        <v>291</v>
      </c>
      <c r="H324" s="19" t="n">
        <v>16</v>
      </c>
      <c r="I324" s="19" t="s">
        <v>649</v>
      </c>
      <c r="J324" s="19" t="s">
        <v>652</v>
      </c>
    </row>
    <row r="325" customFormat="false" ht="15" hidden="false" customHeight="true" outlineLevel="0" collapsed="false">
      <c r="B325" s="19" t="s">
        <v>973</v>
      </c>
      <c r="C325" s="19" t="s">
        <v>227</v>
      </c>
      <c r="D325" s="19" t="s">
        <v>228</v>
      </c>
      <c r="E325" s="19" t="s">
        <v>62</v>
      </c>
      <c r="F325" s="19" t="s">
        <v>63</v>
      </c>
      <c r="G325" s="19" t="s">
        <v>289</v>
      </c>
      <c r="H325" s="19" t="n">
        <v>9</v>
      </c>
      <c r="I325" s="19" t="s">
        <v>649</v>
      </c>
      <c r="J325" s="19" t="s">
        <v>652</v>
      </c>
    </row>
    <row r="326" customFormat="false" ht="15" hidden="false" customHeight="true" outlineLevel="0" collapsed="false">
      <c r="B326" s="19" t="s">
        <v>974</v>
      </c>
      <c r="C326" s="19" t="s">
        <v>261</v>
      </c>
      <c r="D326" s="19" t="s">
        <v>262</v>
      </c>
      <c r="E326" s="19" t="s">
        <v>58</v>
      </c>
      <c r="F326" s="19" t="s">
        <v>59</v>
      </c>
      <c r="G326" s="19" t="s">
        <v>287</v>
      </c>
      <c r="H326" s="19" t="n">
        <v>14</v>
      </c>
      <c r="I326" s="19" t="s">
        <v>649</v>
      </c>
      <c r="J326" s="19" t="s">
        <v>652</v>
      </c>
    </row>
    <row r="327" customFormat="false" ht="15" hidden="false" customHeight="true" outlineLevel="0" collapsed="false">
      <c r="B327" s="19" t="s">
        <v>975</v>
      </c>
      <c r="C327" s="19" t="s">
        <v>236</v>
      </c>
      <c r="D327" s="19" t="s">
        <v>237</v>
      </c>
      <c r="E327" s="19" t="s">
        <v>58</v>
      </c>
      <c r="F327" s="19" t="s">
        <v>59</v>
      </c>
      <c r="G327" s="19" t="s">
        <v>293</v>
      </c>
      <c r="H327" s="19" t="n">
        <v>8</v>
      </c>
      <c r="I327" s="19" t="s">
        <v>649</v>
      </c>
      <c r="J327" s="19" t="s">
        <v>652</v>
      </c>
    </row>
    <row r="328" customFormat="false" ht="15" hidden="false" customHeight="true" outlineLevel="0" collapsed="false">
      <c r="B328" s="19" t="s">
        <v>976</v>
      </c>
      <c r="C328" s="19" t="s">
        <v>236</v>
      </c>
      <c r="D328" s="19" t="s">
        <v>237</v>
      </c>
      <c r="E328" s="19" t="s">
        <v>62</v>
      </c>
      <c r="F328" s="19" t="s">
        <v>63</v>
      </c>
      <c r="G328" s="19" t="s">
        <v>309</v>
      </c>
      <c r="H328" s="19" t="n">
        <v>18</v>
      </c>
      <c r="I328" s="19" t="s">
        <v>649</v>
      </c>
      <c r="J328" s="19" t="s">
        <v>652</v>
      </c>
    </row>
    <row r="329" customFormat="false" ht="15" hidden="false" customHeight="true" outlineLevel="0" collapsed="false">
      <c r="B329" s="19" t="s">
        <v>977</v>
      </c>
      <c r="C329" s="19" t="s">
        <v>223</v>
      </c>
      <c r="D329" s="19" t="s">
        <v>224</v>
      </c>
      <c r="E329" s="19" t="s">
        <v>42</v>
      </c>
      <c r="F329" s="19" t="s">
        <v>43</v>
      </c>
      <c r="G329" s="19" t="s">
        <v>285</v>
      </c>
      <c r="H329" s="19" t="n">
        <v>15</v>
      </c>
      <c r="I329" s="19" t="s">
        <v>649</v>
      </c>
      <c r="J329" s="19" t="s">
        <v>652</v>
      </c>
    </row>
    <row r="330" customFormat="false" ht="15" hidden="false" customHeight="true" outlineLevel="0" collapsed="false">
      <c r="B330" s="19" t="s">
        <v>978</v>
      </c>
      <c r="C330" s="19" t="s">
        <v>223</v>
      </c>
      <c r="D330" s="19" t="s">
        <v>224</v>
      </c>
      <c r="E330" s="19" t="s">
        <v>62</v>
      </c>
      <c r="F330" s="19" t="s">
        <v>63</v>
      </c>
      <c r="G330" s="19" t="s">
        <v>312</v>
      </c>
      <c r="H330" s="19" t="n">
        <v>28</v>
      </c>
      <c r="I330" s="19" t="s">
        <v>649</v>
      </c>
      <c r="J330" s="19" t="s">
        <v>652</v>
      </c>
    </row>
    <row r="331" customFormat="false" ht="15" hidden="false" customHeight="true" outlineLevel="0" collapsed="false">
      <c r="B331" s="19" t="s">
        <v>979</v>
      </c>
      <c r="C331" s="19" t="s">
        <v>236</v>
      </c>
      <c r="D331" s="19" t="s">
        <v>237</v>
      </c>
      <c r="E331" s="19" t="s">
        <v>42</v>
      </c>
      <c r="F331" s="19" t="s">
        <v>43</v>
      </c>
      <c r="G331" s="19" t="s">
        <v>287</v>
      </c>
      <c r="H331" s="19" t="n">
        <v>19</v>
      </c>
      <c r="I331" s="19" t="s">
        <v>649</v>
      </c>
      <c r="J331" s="19" t="s">
        <v>652</v>
      </c>
    </row>
    <row r="332" customFormat="false" ht="15" hidden="false" customHeight="true" outlineLevel="0" collapsed="false">
      <c r="B332" s="19" t="s">
        <v>980</v>
      </c>
      <c r="C332" s="19" t="s">
        <v>223</v>
      </c>
      <c r="D332" s="19" t="s">
        <v>224</v>
      </c>
      <c r="E332" s="19" t="s">
        <v>48</v>
      </c>
      <c r="F332" s="19" t="s">
        <v>49</v>
      </c>
      <c r="G332" s="19" t="s">
        <v>283</v>
      </c>
      <c r="H332" s="19" t="n">
        <v>38</v>
      </c>
      <c r="I332" s="19" t="s">
        <v>654</v>
      </c>
      <c r="J332" s="19" t="s">
        <v>652</v>
      </c>
    </row>
    <row r="333" customFormat="false" ht="15" hidden="false" customHeight="true" outlineLevel="0" collapsed="false">
      <c r="B333" s="19" t="s">
        <v>981</v>
      </c>
      <c r="C333" s="19" t="s">
        <v>231</v>
      </c>
      <c r="D333" s="19" t="s">
        <v>232</v>
      </c>
      <c r="E333" s="19" t="s">
        <v>53</v>
      </c>
      <c r="F333" s="19" t="s">
        <v>54</v>
      </c>
      <c r="G333" s="19" t="s">
        <v>309</v>
      </c>
      <c r="H333" s="19" t="n">
        <v>13</v>
      </c>
      <c r="I333" s="19" t="s">
        <v>649</v>
      </c>
      <c r="J333" s="19" t="s">
        <v>652</v>
      </c>
    </row>
    <row r="334" customFormat="false" ht="15" hidden="false" customHeight="true" outlineLevel="0" collapsed="false">
      <c r="B334" s="19" t="s">
        <v>982</v>
      </c>
      <c r="C334" s="19" t="s">
        <v>231</v>
      </c>
      <c r="D334" s="19" t="s">
        <v>232</v>
      </c>
      <c r="E334" s="19" t="s">
        <v>42</v>
      </c>
      <c r="F334" s="19" t="s">
        <v>43</v>
      </c>
      <c r="G334" s="19" t="s">
        <v>285</v>
      </c>
      <c r="H334" s="19" t="n">
        <v>23</v>
      </c>
      <c r="I334" s="19" t="s">
        <v>649</v>
      </c>
      <c r="J334" s="19" t="s">
        <v>652</v>
      </c>
    </row>
    <row r="335" customFormat="false" ht="15" hidden="false" customHeight="true" outlineLevel="0" collapsed="false">
      <c r="B335" s="19" t="s">
        <v>983</v>
      </c>
      <c r="C335" s="19" t="s">
        <v>233</v>
      </c>
      <c r="D335" s="19" t="s">
        <v>234</v>
      </c>
      <c r="E335" s="19" t="s">
        <v>66</v>
      </c>
      <c r="F335" s="19" t="s">
        <v>67</v>
      </c>
      <c r="G335" s="19" t="s">
        <v>289</v>
      </c>
      <c r="H335" s="19" t="n">
        <v>12</v>
      </c>
      <c r="I335" s="19" t="s">
        <v>649</v>
      </c>
      <c r="J335" s="19" t="s">
        <v>652</v>
      </c>
    </row>
    <row r="336" customFormat="false" ht="15" hidden="false" customHeight="true" outlineLevel="0" collapsed="false">
      <c r="B336" s="19" t="s">
        <v>984</v>
      </c>
      <c r="C336" s="19" t="s">
        <v>227</v>
      </c>
      <c r="D336" s="19" t="s">
        <v>228</v>
      </c>
      <c r="E336" s="19" t="s">
        <v>58</v>
      </c>
      <c r="F336" s="19" t="s">
        <v>59</v>
      </c>
      <c r="G336" s="19" t="s">
        <v>295</v>
      </c>
      <c r="H336" s="19" t="n">
        <v>11</v>
      </c>
      <c r="I336" s="19" t="s">
        <v>649</v>
      </c>
      <c r="J336" s="19" t="s">
        <v>652</v>
      </c>
    </row>
    <row r="337" customFormat="false" ht="15" hidden="false" customHeight="true" outlineLevel="0" collapsed="false">
      <c r="B337" s="19" t="s">
        <v>985</v>
      </c>
      <c r="C337" s="19" t="s">
        <v>223</v>
      </c>
      <c r="D337" s="19" t="s">
        <v>224</v>
      </c>
      <c r="E337" s="19" t="s">
        <v>66</v>
      </c>
      <c r="F337" s="19" t="s">
        <v>67</v>
      </c>
      <c r="G337" s="19" t="s">
        <v>285</v>
      </c>
      <c r="H337" s="19" t="n">
        <v>10</v>
      </c>
      <c r="I337" s="19" t="s">
        <v>649</v>
      </c>
      <c r="J337" s="19" t="s">
        <v>652</v>
      </c>
    </row>
    <row r="338" customFormat="false" ht="15" hidden="false" customHeight="true" outlineLevel="0" collapsed="false">
      <c r="B338" s="19" t="s">
        <v>986</v>
      </c>
      <c r="C338" s="19" t="s">
        <v>238</v>
      </c>
      <c r="D338" s="19" t="s">
        <v>239</v>
      </c>
      <c r="E338" s="19" t="s">
        <v>53</v>
      </c>
      <c r="F338" s="19" t="s">
        <v>54</v>
      </c>
      <c r="G338" s="19" t="s">
        <v>283</v>
      </c>
      <c r="H338" s="19" t="n">
        <v>18</v>
      </c>
      <c r="I338" s="19" t="s">
        <v>649</v>
      </c>
      <c r="J338" s="19" t="s">
        <v>652</v>
      </c>
    </row>
    <row r="339" customFormat="false" ht="15" hidden="false" customHeight="true" outlineLevel="0" collapsed="false">
      <c r="B339" s="19" t="s">
        <v>987</v>
      </c>
      <c r="C339" s="19" t="s">
        <v>227</v>
      </c>
      <c r="D339" s="19" t="s">
        <v>228</v>
      </c>
      <c r="E339" s="19" t="s">
        <v>48</v>
      </c>
      <c r="F339" s="19" t="s">
        <v>49</v>
      </c>
      <c r="G339" s="19" t="s">
        <v>291</v>
      </c>
      <c r="H339" s="19" t="n">
        <v>34</v>
      </c>
      <c r="I339" s="19" t="s">
        <v>649</v>
      </c>
      <c r="J339" s="19" t="s">
        <v>652</v>
      </c>
    </row>
    <row r="340" customFormat="false" ht="15" hidden="false" customHeight="true" outlineLevel="0" collapsed="false">
      <c r="B340" s="19" t="s">
        <v>988</v>
      </c>
      <c r="C340" s="19" t="s">
        <v>255</v>
      </c>
      <c r="D340" s="19" t="s">
        <v>256</v>
      </c>
      <c r="E340" s="19" t="s">
        <v>42</v>
      </c>
      <c r="F340" s="19" t="s">
        <v>43</v>
      </c>
      <c r="G340" s="19" t="s">
        <v>295</v>
      </c>
      <c r="H340" s="19" t="n">
        <v>10</v>
      </c>
      <c r="I340" s="19" t="s">
        <v>649</v>
      </c>
      <c r="J340" s="19" t="s">
        <v>652</v>
      </c>
    </row>
    <row r="341" customFormat="false" ht="15" hidden="false" customHeight="true" outlineLevel="0" collapsed="false">
      <c r="B341" s="19" t="s">
        <v>989</v>
      </c>
      <c r="C341" s="19" t="s">
        <v>223</v>
      </c>
      <c r="D341" s="19" t="s">
        <v>224</v>
      </c>
      <c r="E341" s="19" t="s">
        <v>53</v>
      </c>
      <c r="F341" s="19" t="s">
        <v>54</v>
      </c>
      <c r="G341" s="19" t="s">
        <v>295</v>
      </c>
      <c r="H341" s="19" t="n">
        <v>13</v>
      </c>
      <c r="I341" s="19" t="s">
        <v>649</v>
      </c>
      <c r="J341" s="19" t="s">
        <v>652</v>
      </c>
    </row>
    <row r="342" customFormat="false" ht="15" hidden="false" customHeight="true" outlineLevel="0" collapsed="false">
      <c r="B342" s="19" t="s">
        <v>990</v>
      </c>
      <c r="C342" s="19" t="s">
        <v>261</v>
      </c>
      <c r="D342" s="19" t="s">
        <v>262</v>
      </c>
      <c r="E342" s="19" t="s">
        <v>42</v>
      </c>
      <c r="F342" s="19" t="s">
        <v>43</v>
      </c>
      <c r="G342" s="19" t="s">
        <v>309</v>
      </c>
      <c r="H342" s="19" t="n">
        <v>12</v>
      </c>
      <c r="I342" s="19" t="s">
        <v>649</v>
      </c>
      <c r="J342" s="19" t="s">
        <v>652</v>
      </c>
    </row>
    <row r="343" customFormat="false" ht="15" hidden="false" customHeight="true" outlineLevel="0" collapsed="false">
      <c r="B343" s="19" t="s">
        <v>991</v>
      </c>
      <c r="C343" s="19" t="s">
        <v>255</v>
      </c>
      <c r="D343" s="19" t="s">
        <v>256</v>
      </c>
      <c r="E343" s="19" t="s">
        <v>66</v>
      </c>
      <c r="F343" s="19" t="s">
        <v>67</v>
      </c>
      <c r="G343" s="19" t="s">
        <v>331</v>
      </c>
      <c r="H343" s="19" t="n">
        <v>34</v>
      </c>
      <c r="I343" s="19" t="s">
        <v>654</v>
      </c>
      <c r="J343" s="19" t="s">
        <v>652</v>
      </c>
    </row>
    <row r="344" customFormat="false" ht="15" hidden="false" customHeight="true" outlineLevel="0" collapsed="false">
      <c r="B344" s="19" t="s">
        <v>992</v>
      </c>
      <c r="C344" s="19" t="s">
        <v>223</v>
      </c>
      <c r="D344" s="19" t="s">
        <v>224</v>
      </c>
      <c r="E344" s="19" t="s">
        <v>58</v>
      </c>
      <c r="F344" s="19" t="s">
        <v>59</v>
      </c>
      <c r="G344" s="19" t="s">
        <v>309</v>
      </c>
      <c r="H344" s="19" t="n">
        <v>21</v>
      </c>
      <c r="I344" s="19" t="s">
        <v>654</v>
      </c>
      <c r="J344" s="19" t="s">
        <v>652</v>
      </c>
    </row>
    <row r="345" customFormat="false" ht="15" hidden="false" customHeight="true" outlineLevel="0" collapsed="false">
      <c r="B345" s="19" t="s">
        <v>993</v>
      </c>
      <c r="C345" s="19" t="s">
        <v>249</v>
      </c>
      <c r="D345" s="19" t="s">
        <v>250</v>
      </c>
      <c r="E345" s="19" t="s">
        <v>66</v>
      </c>
      <c r="F345" s="19" t="s">
        <v>67</v>
      </c>
      <c r="G345" s="19" t="s">
        <v>287</v>
      </c>
      <c r="H345" s="19" t="n">
        <v>14</v>
      </c>
      <c r="I345" s="19" t="s">
        <v>649</v>
      </c>
      <c r="J345" s="19" t="s">
        <v>652</v>
      </c>
    </row>
    <row r="346" customFormat="false" ht="15" hidden="false" customHeight="true" outlineLevel="0" collapsed="false">
      <c r="B346" s="19" t="s">
        <v>994</v>
      </c>
      <c r="C346" s="19" t="s">
        <v>233</v>
      </c>
      <c r="D346" s="19" t="s">
        <v>234</v>
      </c>
      <c r="E346" s="19" t="s">
        <v>58</v>
      </c>
      <c r="F346" s="19" t="s">
        <v>59</v>
      </c>
      <c r="G346" s="19" t="s">
        <v>293</v>
      </c>
      <c r="H346" s="19" t="n">
        <v>13</v>
      </c>
      <c r="I346" s="19" t="s">
        <v>654</v>
      </c>
      <c r="J346" s="19" t="s">
        <v>652</v>
      </c>
    </row>
    <row r="347" customFormat="false" ht="15" hidden="false" customHeight="true" outlineLevel="0" collapsed="false">
      <c r="B347" s="19" t="s">
        <v>995</v>
      </c>
      <c r="C347" s="19" t="s">
        <v>264</v>
      </c>
      <c r="D347" s="19" t="s">
        <v>265</v>
      </c>
      <c r="E347" s="19" t="s">
        <v>66</v>
      </c>
      <c r="F347" s="19" t="s">
        <v>67</v>
      </c>
      <c r="G347" s="19" t="s">
        <v>293</v>
      </c>
      <c r="H347" s="19" t="n">
        <v>13</v>
      </c>
      <c r="I347" s="19" t="s">
        <v>649</v>
      </c>
      <c r="J347" s="19" t="s">
        <v>652</v>
      </c>
    </row>
    <row r="348" customFormat="false" ht="15" hidden="false" customHeight="true" outlineLevel="0" collapsed="false">
      <c r="B348" s="19" t="s">
        <v>996</v>
      </c>
      <c r="C348" s="19" t="s">
        <v>227</v>
      </c>
      <c r="D348" s="19" t="s">
        <v>228</v>
      </c>
      <c r="E348" s="19" t="s">
        <v>62</v>
      </c>
      <c r="F348" s="19" t="s">
        <v>63</v>
      </c>
      <c r="G348" s="19" t="s">
        <v>287</v>
      </c>
      <c r="H348" s="19" t="n">
        <v>10</v>
      </c>
      <c r="I348" s="19" t="s">
        <v>649</v>
      </c>
      <c r="J348" s="19" t="s">
        <v>652</v>
      </c>
    </row>
    <row r="349" customFormat="false" ht="15" hidden="false" customHeight="true" outlineLevel="0" collapsed="false">
      <c r="B349" s="19" t="s">
        <v>997</v>
      </c>
      <c r="C349" s="19" t="s">
        <v>255</v>
      </c>
      <c r="D349" s="19" t="s">
        <v>256</v>
      </c>
      <c r="E349" s="19" t="s">
        <v>62</v>
      </c>
      <c r="F349" s="19" t="s">
        <v>63</v>
      </c>
      <c r="G349" s="19" t="s">
        <v>295</v>
      </c>
      <c r="H349" s="19" t="n">
        <v>10</v>
      </c>
      <c r="I349" s="19" t="s">
        <v>649</v>
      </c>
      <c r="J349" s="19" t="s">
        <v>652</v>
      </c>
    </row>
    <row r="350" customFormat="false" ht="15" hidden="false" customHeight="true" outlineLevel="0" collapsed="false">
      <c r="B350" s="19" t="s">
        <v>998</v>
      </c>
      <c r="C350" s="19" t="s">
        <v>245</v>
      </c>
      <c r="D350" s="19" t="s">
        <v>246</v>
      </c>
      <c r="E350" s="19" t="s">
        <v>58</v>
      </c>
      <c r="F350" s="19" t="s">
        <v>59</v>
      </c>
      <c r="G350" s="19" t="s">
        <v>285</v>
      </c>
      <c r="H350" s="19" t="n">
        <v>24</v>
      </c>
      <c r="I350" s="19" t="s">
        <v>654</v>
      </c>
      <c r="J350" s="19" t="s">
        <v>652</v>
      </c>
    </row>
    <row r="351" customFormat="false" ht="15" hidden="false" customHeight="true" outlineLevel="0" collapsed="false">
      <c r="B351" s="19" t="s">
        <v>999</v>
      </c>
      <c r="C351" s="19" t="s">
        <v>233</v>
      </c>
      <c r="D351" s="19" t="s">
        <v>234</v>
      </c>
      <c r="E351" s="19" t="s">
        <v>53</v>
      </c>
      <c r="F351" s="19" t="s">
        <v>54</v>
      </c>
      <c r="G351" s="19" t="s">
        <v>295</v>
      </c>
      <c r="H351" s="19" t="n">
        <v>32</v>
      </c>
      <c r="I351" s="19" t="s">
        <v>649</v>
      </c>
      <c r="J351" s="19" t="s">
        <v>652</v>
      </c>
    </row>
    <row r="352" customFormat="false" ht="15" hidden="false" customHeight="true" outlineLevel="0" collapsed="false">
      <c r="B352" s="19" t="s">
        <v>1000</v>
      </c>
      <c r="C352" s="19" t="s">
        <v>261</v>
      </c>
      <c r="D352" s="19" t="s">
        <v>262</v>
      </c>
      <c r="E352" s="19" t="s">
        <v>66</v>
      </c>
      <c r="F352" s="19" t="s">
        <v>67</v>
      </c>
      <c r="G352" s="19" t="s">
        <v>279</v>
      </c>
      <c r="H352" s="19" t="n">
        <v>22</v>
      </c>
      <c r="I352" s="19" t="s">
        <v>654</v>
      </c>
      <c r="J352" s="19" t="s">
        <v>652</v>
      </c>
    </row>
    <row r="353" customFormat="false" ht="15" hidden="false" customHeight="true" outlineLevel="0" collapsed="false">
      <c r="B353" s="19" t="s">
        <v>1001</v>
      </c>
      <c r="C353" s="19" t="s">
        <v>227</v>
      </c>
      <c r="D353" s="19" t="s">
        <v>228</v>
      </c>
      <c r="E353" s="19" t="s">
        <v>62</v>
      </c>
      <c r="F353" s="19" t="s">
        <v>63</v>
      </c>
      <c r="G353" s="19" t="s">
        <v>293</v>
      </c>
      <c r="H353" s="19" t="n">
        <v>10</v>
      </c>
      <c r="I353" s="19" t="s">
        <v>649</v>
      </c>
      <c r="J353" s="19" t="s">
        <v>652</v>
      </c>
    </row>
  </sheetData>
  <conditionalFormatting sqref="J6:J353">
    <cfRule type="cellIs" priority="2" operator="equal" aboveAverage="0" equalAverage="0" bottom="0" percent="0" rank="0" text="" dxfId="5">
      <formula>"Submitted"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7"/>
    <col collapsed="false" customWidth="true" hidden="false" outlineLevel="0" max="17" min="16" style="0" width="8"/>
  </cols>
  <sheetData>
    <row r="2" customFormat="false" ht="18.55" hidden="false" customHeight="false" outlineLevel="0" collapsed="false">
      <c r="B2" s="25" t="s">
        <v>1002</v>
      </c>
    </row>
    <row r="3" customFormat="false" ht="15" hidden="false" customHeight="false" outlineLevel="0" collapsed="false">
      <c r="B3" s="26" t="s">
        <v>1003</v>
      </c>
    </row>
    <row r="5" customFormat="false" ht="15" hidden="false" customHeight="false" outlineLevel="0" collapsed="false">
      <c r="B5" s="28" t="s">
        <v>1004</v>
      </c>
      <c r="C5" s="28" t="s">
        <v>1005</v>
      </c>
      <c r="D5" s="29" t="s">
        <v>1006</v>
      </c>
      <c r="E5" s="29" t="s">
        <v>1007</v>
      </c>
      <c r="F5" s="29" t="s">
        <v>1008</v>
      </c>
      <c r="G5" s="29" t="s">
        <v>1009</v>
      </c>
      <c r="H5" s="29" t="s">
        <v>1010</v>
      </c>
      <c r="I5" s="29" t="s">
        <v>1011</v>
      </c>
      <c r="J5" s="29" t="s">
        <v>1012</v>
      </c>
      <c r="K5" s="29" t="s">
        <v>1013</v>
      </c>
      <c r="L5" s="29" t="s">
        <v>1014</v>
      </c>
      <c r="M5" s="29" t="s">
        <v>1015</v>
      </c>
      <c r="N5" s="29" t="s">
        <v>1016</v>
      </c>
      <c r="O5" s="29" t="s">
        <v>1017</v>
      </c>
      <c r="P5" s="28" t="s">
        <v>1018</v>
      </c>
      <c r="Q5" s="28" t="s">
        <v>1019</v>
      </c>
    </row>
    <row r="6" customFormat="false" ht="15" hidden="false" customHeight="false" outlineLevel="0" collapsed="false">
      <c r="B6" s="30" t="s">
        <v>224</v>
      </c>
      <c r="C6" s="12" t="n">
        <v>40</v>
      </c>
      <c r="D6" s="31" t="n">
        <v>0.825</v>
      </c>
      <c r="E6" s="31" t="n">
        <v>0.825</v>
      </c>
      <c r="F6" s="31" t="n">
        <v>0.775</v>
      </c>
      <c r="G6" s="31" t="n">
        <v>0.8</v>
      </c>
      <c r="H6" s="31" t="n">
        <v>0.9</v>
      </c>
      <c r="I6" s="31" t="n">
        <v>0.95</v>
      </c>
      <c r="J6" s="31" t="n">
        <v>0.775</v>
      </c>
      <c r="K6" s="31" t="n">
        <v>0.8</v>
      </c>
      <c r="L6" s="31" t="n">
        <v>0.975</v>
      </c>
      <c r="M6" s="31" t="n">
        <v>0.975</v>
      </c>
      <c r="N6" s="31" t="n">
        <v>0.75</v>
      </c>
      <c r="O6" s="31" t="n">
        <v>0.8</v>
      </c>
      <c r="P6" s="32" t="n">
        <f aca="false">MAX(D6:O6)</f>
        <v>0.975</v>
      </c>
      <c r="Q6" s="31" t="n">
        <f aca="false">AVERAGE(D6:O6)</f>
        <v>0.845833333333333</v>
      </c>
    </row>
    <row r="7" customFormat="false" ht="15" hidden="false" customHeight="false" outlineLevel="0" collapsed="false">
      <c r="B7" s="30" t="s">
        <v>228</v>
      </c>
      <c r="C7" s="12" t="n">
        <v>40</v>
      </c>
      <c r="D7" s="31" t="n">
        <v>1.575</v>
      </c>
      <c r="E7" s="31" t="n">
        <v>0.725</v>
      </c>
      <c r="F7" s="31" t="n">
        <v>0.85</v>
      </c>
      <c r="G7" s="31" t="n">
        <v>0.8</v>
      </c>
      <c r="H7" s="31" t="n">
        <v>0.725</v>
      </c>
      <c r="I7" s="31" t="n">
        <v>0.7</v>
      </c>
      <c r="J7" s="31" t="n">
        <v>0.7</v>
      </c>
      <c r="K7" s="31" t="n">
        <v>0.825</v>
      </c>
      <c r="L7" s="31" t="n">
        <v>0.85</v>
      </c>
      <c r="M7" s="31" t="n">
        <v>0.725</v>
      </c>
      <c r="N7" s="31" t="n">
        <v>0.725</v>
      </c>
      <c r="O7" s="31" t="n">
        <v>0.825</v>
      </c>
      <c r="P7" s="32" t="n">
        <f aca="false">MAX(D7:O7)</f>
        <v>1.575</v>
      </c>
      <c r="Q7" s="31" t="n">
        <f aca="false">AVERAGE(D7:O7)</f>
        <v>0.835416666666667</v>
      </c>
    </row>
    <row r="8" customFormat="false" ht="15" hidden="false" customHeight="false" outlineLevel="0" collapsed="false">
      <c r="B8" s="30" t="s">
        <v>232</v>
      </c>
      <c r="C8" s="12" t="n">
        <v>40</v>
      </c>
      <c r="D8" s="31" t="n">
        <v>0.8</v>
      </c>
      <c r="E8" s="31" t="n">
        <v>0.825</v>
      </c>
      <c r="F8" s="31" t="n">
        <v>0.9</v>
      </c>
      <c r="G8" s="31" t="n">
        <v>1.4</v>
      </c>
      <c r="H8" s="31" t="n">
        <v>1.4</v>
      </c>
      <c r="I8" s="31" t="n">
        <v>1.4</v>
      </c>
      <c r="J8" s="31" t="n">
        <v>0.95</v>
      </c>
      <c r="K8" s="31" t="n">
        <v>0.75</v>
      </c>
      <c r="L8" s="31" t="n">
        <v>0.775</v>
      </c>
      <c r="M8" s="31" t="n">
        <v>0.725</v>
      </c>
      <c r="N8" s="31" t="n">
        <v>0.725</v>
      </c>
      <c r="O8" s="31" t="n">
        <v>0.95</v>
      </c>
      <c r="P8" s="32" t="n">
        <f aca="false">MAX(D8:O8)</f>
        <v>1.4</v>
      </c>
      <c r="Q8" s="31" t="n">
        <f aca="false">AVERAGE(D8:O8)</f>
        <v>0.966666666666667</v>
      </c>
    </row>
    <row r="9" customFormat="false" ht="15" hidden="false" customHeight="false" outlineLevel="0" collapsed="false">
      <c r="B9" s="30" t="s">
        <v>234</v>
      </c>
      <c r="C9" s="12" t="n">
        <v>40</v>
      </c>
      <c r="D9" s="31" t="n">
        <v>0.75</v>
      </c>
      <c r="E9" s="31" t="n">
        <v>0.875</v>
      </c>
      <c r="F9" s="31" t="n">
        <v>0.75</v>
      </c>
      <c r="G9" s="31" t="n">
        <v>0.95</v>
      </c>
      <c r="H9" s="31" t="n">
        <v>0.8</v>
      </c>
      <c r="I9" s="31" t="n">
        <v>0.8</v>
      </c>
      <c r="J9" s="31" t="n">
        <v>0.75</v>
      </c>
      <c r="K9" s="31" t="n">
        <v>0.9</v>
      </c>
      <c r="L9" s="31" t="n">
        <v>0.95</v>
      </c>
      <c r="M9" s="31" t="n">
        <v>0.725</v>
      </c>
      <c r="N9" s="31" t="n">
        <v>0.85</v>
      </c>
      <c r="O9" s="31" t="n">
        <v>0.725</v>
      </c>
      <c r="P9" s="32" t="n">
        <f aca="false">MAX(D9:O9)</f>
        <v>0.95</v>
      </c>
      <c r="Q9" s="31" t="n">
        <f aca="false">AVERAGE(D9:O9)</f>
        <v>0.81875</v>
      </c>
    </row>
    <row r="10" customFormat="false" ht="15" hidden="false" customHeight="false" outlineLevel="0" collapsed="false">
      <c r="B10" s="30" t="s">
        <v>237</v>
      </c>
      <c r="C10" s="12" t="n">
        <v>40</v>
      </c>
      <c r="D10" s="31" t="n">
        <v>0.8</v>
      </c>
      <c r="E10" s="31" t="n">
        <v>0.7</v>
      </c>
      <c r="F10" s="31" t="n">
        <v>0.875</v>
      </c>
      <c r="G10" s="31" t="n">
        <v>0.7</v>
      </c>
      <c r="H10" s="31" t="n">
        <v>0.825</v>
      </c>
      <c r="I10" s="31" t="n">
        <v>0.825</v>
      </c>
      <c r="J10" s="31" t="n">
        <v>0.925</v>
      </c>
      <c r="K10" s="31" t="n">
        <v>0.725</v>
      </c>
      <c r="L10" s="31" t="n">
        <v>0.775</v>
      </c>
      <c r="M10" s="31" t="n">
        <v>0.925</v>
      </c>
      <c r="N10" s="31" t="n">
        <v>0.95</v>
      </c>
      <c r="O10" s="31" t="n">
        <v>0.95</v>
      </c>
      <c r="P10" s="32" t="n">
        <f aca="false">MAX(D10:O10)</f>
        <v>0.95</v>
      </c>
      <c r="Q10" s="31" t="n">
        <f aca="false">AVERAGE(D10:O10)</f>
        <v>0.83125</v>
      </c>
    </row>
    <row r="11" customFormat="false" ht="15" hidden="false" customHeight="false" outlineLevel="0" collapsed="false">
      <c r="B11" s="30" t="s">
        <v>239</v>
      </c>
      <c r="C11" s="12" t="n">
        <v>40</v>
      </c>
      <c r="D11" s="31" t="n">
        <v>0.925</v>
      </c>
      <c r="E11" s="31" t="n">
        <v>0.925</v>
      </c>
      <c r="F11" s="31" t="n">
        <v>0.8</v>
      </c>
      <c r="G11" s="31" t="n">
        <v>0.8</v>
      </c>
      <c r="H11" s="31" t="n">
        <v>0.75</v>
      </c>
      <c r="I11" s="31" t="n">
        <v>0.95</v>
      </c>
      <c r="J11" s="31" t="n">
        <v>0.95</v>
      </c>
      <c r="K11" s="31" t="n">
        <v>0.925</v>
      </c>
      <c r="L11" s="31" t="n">
        <v>0.875</v>
      </c>
      <c r="M11" s="31" t="n">
        <v>0.825</v>
      </c>
      <c r="N11" s="31" t="n">
        <v>0.85</v>
      </c>
      <c r="O11" s="31" t="n">
        <v>0.975</v>
      </c>
      <c r="P11" s="32" t="n">
        <f aca="false">MAX(D11:O11)</f>
        <v>0.975</v>
      </c>
      <c r="Q11" s="31" t="n">
        <f aca="false">AVERAGE(D11:O11)</f>
        <v>0.879166666666667</v>
      </c>
    </row>
    <row r="12" customFormat="false" ht="15" hidden="false" customHeight="false" outlineLevel="0" collapsed="false">
      <c r="B12" s="30" t="s">
        <v>243</v>
      </c>
      <c r="C12" s="12" t="n">
        <v>40</v>
      </c>
      <c r="D12" s="31" t="n">
        <v>0.8</v>
      </c>
      <c r="E12" s="31" t="n">
        <v>0.925</v>
      </c>
      <c r="F12" s="31" t="n">
        <v>0.9</v>
      </c>
      <c r="G12" s="31" t="n">
        <v>0.85</v>
      </c>
      <c r="H12" s="31" t="n">
        <v>0.725</v>
      </c>
      <c r="I12" s="31" t="n">
        <v>0.95</v>
      </c>
      <c r="J12" s="31" t="n">
        <v>0.85</v>
      </c>
      <c r="K12" s="31" t="n">
        <v>0.875</v>
      </c>
      <c r="L12" s="31" t="n">
        <v>0.8</v>
      </c>
      <c r="M12" s="31" t="n">
        <v>1</v>
      </c>
      <c r="N12" s="31" t="n">
        <v>0.725</v>
      </c>
      <c r="O12" s="31" t="n">
        <v>0.875</v>
      </c>
      <c r="P12" s="32" t="n">
        <f aca="false">MAX(D12:O12)</f>
        <v>1</v>
      </c>
      <c r="Q12" s="31" t="n">
        <f aca="false">AVERAGE(D12:O12)</f>
        <v>0.85625</v>
      </c>
    </row>
    <row r="13" customFormat="false" ht="15" hidden="false" customHeight="false" outlineLevel="0" collapsed="false">
      <c r="B13" s="30" t="s">
        <v>246</v>
      </c>
      <c r="C13" s="12" t="n">
        <v>40</v>
      </c>
      <c r="D13" s="31" t="n">
        <v>0.825</v>
      </c>
      <c r="E13" s="31" t="n">
        <v>0.7</v>
      </c>
      <c r="F13" s="31" t="n">
        <v>0.875</v>
      </c>
      <c r="G13" s="31" t="n">
        <v>0.775</v>
      </c>
      <c r="H13" s="31" t="n">
        <v>0.875</v>
      </c>
      <c r="I13" s="31" t="n">
        <v>0.8</v>
      </c>
      <c r="J13" s="31" t="n">
        <v>0.8</v>
      </c>
      <c r="K13" s="31" t="n">
        <v>0.825</v>
      </c>
      <c r="L13" s="31" t="n">
        <v>0.85</v>
      </c>
      <c r="M13" s="31" t="n">
        <v>0.9</v>
      </c>
      <c r="N13" s="31" t="n">
        <v>0.8</v>
      </c>
      <c r="O13" s="31" t="n">
        <v>0.925</v>
      </c>
      <c r="P13" s="32" t="n">
        <f aca="false">MAX(D13:O13)</f>
        <v>0.925</v>
      </c>
      <c r="Q13" s="31" t="n">
        <f aca="false">AVERAGE(D13:O13)</f>
        <v>0.829166666666667</v>
      </c>
    </row>
    <row r="14" customFormat="false" ht="15" hidden="false" customHeight="false" outlineLevel="0" collapsed="false">
      <c r="B14" s="30" t="s">
        <v>250</v>
      </c>
      <c r="C14" s="12" t="n">
        <v>40</v>
      </c>
      <c r="D14" s="31" t="n">
        <v>0.85</v>
      </c>
      <c r="E14" s="31" t="n">
        <v>0.9</v>
      </c>
      <c r="F14" s="31" t="n">
        <v>0.8</v>
      </c>
      <c r="G14" s="31" t="n">
        <v>0.725</v>
      </c>
      <c r="H14" s="31" t="n">
        <v>0.825</v>
      </c>
      <c r="I14" s="31" t="n">
        <v>0.95</v>
      </c>
      <c r="J14" s="31" t="n">
        <v>0.9</v>
      </c>
      <c r="K14" s="31" t="n">
        <v>0.925</v>
      </c>
      <c r="L14" s="31" t="n">
        <v>0.875</v>
      </c>
      <c r="M14" s="31" t="n">
        <v>0.725</v>
      </c>
      <c r="N14" s="31" t="n">
        <v>0.8</v>
      </c>
      <c r="O14" s="31" t="n">
        <v>0.775</v>
      </c>
      <c r="P14" s="32" t="n">
        <f aca="false">MAX(D14:O14)</f>
        <v>0.95</v>
      </c>
      <c r="Q14" s="31" t="n">
        <f aca="false">AVERAGE(D14:O14)</f>
        <v>0.8375</v>
      </c>
    </row>
    <row r="15" customFormat="false" ht="15" hidden="false" customHeight="false" outlineLevel="0" collapsed="false">
      <c r="B15" s="30" t="s">
        <v>254</v>
      </c>
      <c r="C15" s="12" t="n">
        <v>32</v>
      </c>
      <c r="D15" s="31" t="n">
        <v>0.781</v>
      </c>
      <c r="E15" s="31" t="n">
        <v>0.844</v>
      </c>
      <c r="F15" s="31" t="n">
        <v>0.781</v>
      </c>
      <c r="G15" s="31" t="n">
        <v>0.844</v>
      </c>
      <c r="H15" s="31" t="n">
        <v>0.906</v>
      </c>
      <c r="I15" s="31" t="n">
        <v>0.719</v>
      </c>
      <c r="J15" s="31" t="n">
        <v>0.969</v>
      </c>
      <c r="K15" s="31" t="n">
        <v>1.25</v>
      </c>
      <c r="L15" s="31" t="n">
        <v>1.25</v>
      </c>
      <c r="M15" s="31" t="n">
        <v>0.938</v>
      </c>
      <c r="N15" s="31" t="n">
        <v>0.906</v>
      </c>
      <c r="O15" s="31" t="n">
        <v>0.938</v>
      </c>
      <c r="P15" s="32" t="n">
        <f aca="false">MAX(D15:O15)</f>
        <v>1.25</v>
      </c>
      <c r="Q15" s="31" t="n">
        <f aca="false">AVERAGE(D15:O15)</f>
        <v>0.927166666666667</v>
      </c>
    </row>
    <row r="16" customFormat="false" ht="15" hidden="false" customHeight="false" outlineLevel="0" collapsed="false">
      <c r="B16" s="30" t="s">
        <v>256</v>
      </c>
      <c r="C16" s="12" t="n">
        <v>40</v>
      </c>
      <c r="D16" s="31" t="n">
        <v>0.95</v>
      </c>
      <c r="E16" s="31" t="n">
        <v>0.975</v>
      </c>
      <c r="F16" s="31" t="n">
        <v>0.7</v>
      </c>
      <c r="G16" s="31" t="n">
        <v>0.925</v>
      </c>
      <c r="H16" s="31" t="n">
        <v>0.85</v>
      </c>
      <c r="I16" s="31" t="n">
        <v>0.925</v>
      </c>
      <c r="J16" s="31" t="n">
        <v>0.975</v>
      </c>
      <c r="K16" s="31" t="n">
        <v>0.75</v>
      </c>
      <c r="L16" s="31" t="n">
        <v>0.975</v>
      </c>
      <c r="M16" s="31" t="n">
        <v>0.825</v>
      </c>
      <c r="N16" s="31" t="n">
        <v>0.75</v>
      </c>
      <c r="O16" s="31" t="n">
        <v>0.95</v>
      </c>
      <c r="P16" s="32" t="n">
        <f aca="false">MAX(D16:O16)</f>
        <v>0.975</v>
      </c>
      <c r="Q16" s="31" t="n">
        <f aca="false">AVERAGE(D16:O16)</f>
        <v>0.879166666666667</v>
      </c>
    </row>
    <row r="17" customFormat="false" ht="15" hidden="false" customHeight="false" outlineLevel="0" collapsed="false">
      <c r="B17" s="30" t="s">
        <v>259</v>
      </c>
      <c r="C17" s="12" t="n">
        <v>40</v>
      </c>
      <c r="D17" s="31" t="n">
        <v>0.825</v>
      </c>
      <c r="E17" s="31" t="n">
        <v>0.825</v>
      </c>
      <c r="F17" s="31" t="n">
        <v>0.85</v>
      </c>
      <c r="G17" s="31" t="n">
        <v>0.825</v>
      </c>
      <c r="H17" s="31" t="n">
        <v>0.925</v>
      </c>
      <c r="I17" s="31" t="n">
        <v>0.875</v>
      </c>
      <c r="J17" s="31" t="n">
        <v>0.7</v>
      </c>
      <c r="K17" s="31" t="n">
        <v>0.775</v>
      </c>
      <c r="L17" s="31" t="n">
        <v>0.8</v>
      </c>
      <c r="M17" s="31" t="n">
        <v>0.85</v>
      </c>
      <c r="N17" s="31" t="n">
        <v>0.95</v>
      </c>
      <c r="O17" s="31" t="n">
        <v>0.75</v>
      </c>
      <c r="P17" s="32" t="n">
        <f aca="false">MAX(D17:O17)</f>
        <v>0.95</v>
      </c>
      <c r="Q17" s="31" t="n">
        <f aca="false">AVERAGE(D17:O17)</f>
        <v>0.829166666666667</v>
      </c>
    </row>
    <row r="18" customFormat="false" ht="15" hidden="false" customHeight="false" outlineLevel="0" collapsed="false">
      <c r="B18" s="30" t="s">
        <v>262</v>
      </c>
      <c r="C18" s="12" t="n">
        <v>40</v>
      </c>
      <c r="D18" s="31" t="n">
        <v>0.825</v>
      </c>
      <c r="E18" s="31" t="n">
        <v>0.95</v>
      </c>
      <c r="F18" s="31" t="n">
        <v>0.75</v>
      </c>
      <c r="G18" s="31" t="n">
        <v>0.9</v>
      </c>
      <c r="H18" s="31" t="n">
        <v>0.925</v>
      </c>
      <c r="I18" s="31" t="n">
        <v>0.875</v>
      </c>
      <c r="J18" s="31" t="n">
        <v>0.7</v>
      </c>
      <c r="K18" s="31" t="n">
        <v>0.8</v>
      </c>
      <c r="L18" s="31" t="n">
        <v>0.95</v>
      </c>
      <c r="M18" s="31" t="n">
        <v>0.7</v>
      </c>
      <c r="N18" s="31" t="n">
        <v>0.8</v>
      </c>
      <c r="O18" s="31" t="n">
        <v>0.8</v>
      </c>
      <c r="P18" s="32" t="n">
        <f aca="false">MAX(D18:O18)</f>
        <v>0.95</v>
      </c>
      <c r="Q18" s="31" t="n">
        <f aca="false">AVERAGE(D18:O18)</f>
        <v>0.83125</v>
      </c>
    </row>
    <row r="19" customFormat="false" ht="15" hidden="false" customHeight="false" outlineLevel="0" collapsed="false">
      <c r="B19" s="30" t="s">
        <v>265</v>
      </c>
      <c r="C19" s="12" t="n">
        <v>40</v>
      </c>
      <c r="D19" s="31" t="n">
        <v>0.975</v>
      </c>
      <c r="E19" s="31" t="n">
        <v>0.775</v>
      </c>
      <c r="F19" s="31" t="n">
        <v>0.95</v>
      </c>
      <c r="G19" s="31" t="n">
        <v>0.725</v>
      </c>
      <c r="H19" s="31" t="n">
        <v>0.875</v>
      </c>
      <c r="I19" s="31" t="n">
        <v>0.925</v>
      </c>
      <c r="J19" s="31" t="n">
        <v>0.775</v>
      </c>
      <c r="K19" s="31" t="n">
        <v>0.775</v>
      </c>
      <c r="L19" s="31" t="n">
        <v>0.95</v>
      </c>
      <c r="M19" s="31" t="n">
        <v>0.85</v>
      </c>
      <c r="N19" s="31" t="n">
        <v>0.725</v>
      </c>
      <c r="O19" s="31" t="n">
        <v>0.85</v>
      </c>
      <c r="P19" s="32" t="n">
        <f aca="false">MAX(D19:O19)</f>
        <v>0.975</v>
      </c>
      <c r="Q19" s="31" t="n">
        <f aca="false">AVERAGE(D19:O19)</f>
        <v>0.845833333333333</v>
      </c>
    </row>
    <row r="20" customFormat="false" ht="15" hidden="false" customHeight="false" outlineLevel="0" collapsed="false">
      <c r="B20" s="30" t="s">
        <v>268</v>
      </c>
      <c r="C20" s="12" t="n">
        <v>24</v>
      </c>
      <c r="D20" s="31" t="n">
        <v>0.875</v>
      </c>
      <c r="E20" s="31" t="n">
        <v>0.833</v>
      </c>
      <c r="F20" s="31" t="n">
        <v>0.833</v>
      </c>
      <c r="G20" s="31" t="n">
        <v>0.833</v>
      </c>
      <c r="H20" s="31" t="n">
        <v>1.583</v>
      </c>
      <c r="I20" s="31" t="n">
        <v>0.792</v>
      </c>
      <c r="J20" s="31" t="n">
        <v>0.75</v>
      </c>
      <c r="K20" s="31" t="n">
        <v>0.833</v>
      </c>
      <c r="L20" s="31" t="n">
        <v>0.958</v>
      </c>
      <c r="M20" s="31" t="n">
        <v>0.75</v>
      </c>
      <c r="N20" s="31" t="n">
        <v>0.75</v>
      </c>
      <c r="O20" s="31" t="n">
        <v>0.75</v>
      </c>
      <c r="P20" s="32" t="n">
        <f aca="false">MAX(D20:O20)</f>
        <v>1.583</v>
      </c>
      <c r="Q20" s="31" t="n">
        <f aca="false">AVERAGE(D20:O20)</f>
        <v>0.878333333333333</v>
      </c>
    </row>
    <row r="23" customFormat="false" ht="15" hidden="false" customHeight="false" outlineLevel="0" collapsed="false">
      <c r="B23" s="33" t="s">
        <v>1020</v>
      </c>
      <c r="F23" s="34" t="n">
        <f aca="false">AVERAGE(Q6:Q20)</f>
        <v>0.859394444444444</v>
      </c>
    </row>
    <row r="24" customFormat="false" ht="15" hidden="false" customHeight="false" outlineLevel="0" collapsed="false">
      <c r="B24" s="33" t="s">
        <v>1021</v>
      </c>
      <c r="F24" s="35" t="n">
        <f aca="false">COUNTIF(P6:P20,"&gt;1")</f>
        <v>4</v>
      </c>
    </row>
    <row r="25" customFormat="false" ht="15" hidden="false" customHeight="false" outlineLevel="0" collapsed="false">
      <c r="B25" s="33" t="s">
        <v>1022</v>
      </c>
      <c r="F25" s="36" t="n">
        <f aca="false">MAX(P6:P20)</f>
        <v>1.583</v>
      </c>
    </row>
  </sheetData>
  <conditionalFormatting sqref="D6:O20">
    <cfRule type="cellIs" priority="2" operator="greaterThan" aboveAverage="0" equalAverage="0" bottom="0" percent="0" rank="0" text="" dxfId="6">
      <formula>1</formula>
    </cfRule>
    <cfRule type="cellIs" priority="3" operator="between" aboveAverage="0" equalAverage="0" bottom="0" percent="0" rank="0" text="" dxfId="5">
      <formula>0.9</formula>
      <formula>1</formula>
    </cfRule>
  </conditionalFormatting>
  <conditionalFormatting sqref="P6:P20">
    <cfRule type="cellIs" priority="4" operator="greaterThan" aboveAverage="0" equalAverage="0" bottom="0" percent="0" rank="0" text="" dxfId="6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7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54"/>
    <col collapsed="false" customWidth="true" hidden="false" outlineLevel="0" max="7" min="7" style="0" width="11"/>
  </cols>
  <sheetData>
    <row r="2" customFormat="false" ht="18.55" hidden="false" customHeight="false" outlineLevel="0" collapsed="false">
      <c r="B2" s="25" t="s">
        <v>1023</v>
      </c>
    </row>
    <row r="3" customFormat="false" ht="15" hidden="false" customHeight="false" outlineLevel="0" collapsed="false">
      <c r="B3" s="26" t="s">
        <v>1024</v>
      </c>
    </row>
    <row r="5" customFormat="false" ht="27.75" hidden="false" customHeight="true" outlineLevel="0" collapsed="false">
      <c r="B5" s="18" t="s">
        <v>1025</v>
      </c>
      <c r="C5" s="18" t="s">
        <v>1026</v>
      </c>
      <c r="D5" s="18" t="s">
        <v>1027</v>
      </c>
      <c r="E5" s="18" t="s">
        <v>1028</v>
      </c>
      <c r="F5" s="18" t="s">
        <v>1029</v>
      </c>
      <c r="G5" s="18" t="s">
        <v>106</v>
      </c>
    </row>
    <row r="6" customFormat="false" ht="48" hidden="false" customHeight="true" outlineLevel="0" collapsed="false">
      <c r="B6" s="19" t="s">
        <v>1030</v>
      </c>
      <c r="C6" s="19" t="s">
        <v>1031</v>
      </c>
      <c r="D6" s="19" t="s">
        <v>1032</v>
      </c>
      <c r="E6" s="19" t="s">
        <v>1033</v>
      </c>
      <c r="F6" s="19" t="s">
        <v>1034</v>
      </c>
      <c r="G6" s="24" t="s">
        <v>1035</v>
      </c>
    </row>
    <row r="7" customFormat="false" ht="48" hidden="false" customHeight="true" outlineLevel="0" collapsed="false">
      <c r="B7" s="19" t="s">
        <v>1036</v>
      </c>
      <c r="C7" s="19" t="s">
        <v>1031</v>
      </c>
      <c r="D7" s="19" t="s">
        <v>1037</v>
      </c>
      <c r="E7" s="19" t="s">
        <v>1038</v>
      </c>
      <c r="F7" s="19" t="s">
        <v>1039</v>
      </c>
      <c r="G7" s="24" t="s">
        <v>1035</v>
      </c>
    </row>
    <row r="8" customFormat="false" ht="48" hidden="false" customHeight="true" outlineLevel="0" collapsed="false">
      <c r="B8" s="19" t="s">
        <v>1040</v>
      </c>
      <c r="C8" s="19" t="s">
        <v>1041</v>
      </c>
      <c r="D8" s="19" t="s">
        <v>1042</v>
      </c>
      <c r="E8" s="19" t="s">
        <v>1033</v>
      </c>
      <c r="F8" s="19" t="s">
        <v>1043</v>
      </c>
      <c r="G8" s="24" t="s">
        <v>1044</v>
      </c>
    </row>
    <row r="9" customFormat="false" ht="48" hidden="false" customHeight="true" outlineLevel="0" collapsed="false">
      <c r="B9" s="19" t="s">
        <v>1045</v>
      </c>
      <c r="C9" s="19" t="s">
        <v>1046</v>
      </c>
      <c r="D9" s="19" t="s">
        <v>1047</v>
      </c>
      <c r="E9" s="19" t="s">
        <v>1038</v>
      </c>
      <c r="F9" s="19" t="s">
        <v>1048</v>
      </c>
      <c r="G9" s="24" t="s">
        <v>1044</v>
      </c>
    </row>
    <row r="10" customFormat="false" ht="48" hidden="false" customHeight="true" outlineLevel="0" collapsed="false">
      <c r="B10" s="19" t="s">
        <v>1049</v>
      </c>
      <c r="C10" s="19" t="s">
        <v>1050</v>
      </c>
      <c r="D10" s="19" t="s">
        <v>1051</v>
      </c>
      <c r="E10" s="19" t="s">
        <v>1038</v>
      </c>
      <c r="F10" s="19" t="s">
        <v>1052</v>
      </c>
      <c r="G10" s="24" t="s">
        <v>1035</v>
      </c>
    </row>
    <row r="11" customFormat="false" ht="48" hidden="false" customHeight="true" outlineLevel="0" collapsed="false">
      <c r="B11" s="19" t="s">
        <v>1053</v>
      </c>
      <c r="C11" s="19" t="s">
        <v>1054</v>
      </c>
      <c r="D11" s="19" t="s">
        <v>1055</v>
      </c>
      <c r="E11" s="19" t="s">
        <v>1033</v>
      </c>
      <c r="F11" s="19" t="s">
        <v>1056</v>
      </c>
      <c r="G11" s="24" t="s">
        <v>1035</v>
      </c>
    </row>
    <row r="12" customFormat="false" ht="48" hidden="false" customHeight="true" outlineLevel="0" collapsed="false">
      <c r="B12" s="19" t="s">
        <v>1057</v>
      </c>
      <c r="C12" s="19" t="s">
        <v>1054</v>
      </c>
      <c r="D12" s="19" t="s">
        <v>1058</v>
      </c>
      <c r="E12" s="19" t="s">
        <v>1033</v>
      </c>
      <c r="F12" s="19" t="s">
        <v>1059</v>
      </c>
      <c r="G12" s="24" t="s">
        <v>1035</v>
      </c>
    </row>
    <row r="13" customFormat="false" ht="48" hidden="false" customHeight="true" outlineLevel="0" collapsed="false">
      <c r="B13" s="19" t="s">
        <v>1060</v>
      </c>
      <c r="C13" s="19" t="s">
        <v>1054</v>
      </c>
      <c r="D13" s="19" t="s">
        <v>1061</v>
      </c>
      <c r="E13" s="19" t="s">
        <v>1038</v>
      </c>
      <c r="F13" s="19" t="s">
        <v>1062</v>
      </c>
      <c r="G13" s="24" t="s">
        <v>1035</v>
      </c>
    </row>
    <row r="14" customFormat="false" ht="48" hidden="false" customHeight="true" outlineLevel="0" collapsed="false">
      <c r="B14" s="19" t="s">
        <v>1063</v>
      </c>
      <c r="C14" s="19" t="s">
        <v>1054</v>
      </c>
      <c r="D14" s="19" t="s">
        <v>1064</v>
      </c>
      <c r="E14" s="19" t="s">
        <v>1038</v>
      </c>
      <c r="F14" s="19" t="s">
        <v>1065</v>
      </c>
      <c r="G14" s="24" t="s">
        <v>1035</v>
      </c>
    </row>
    <row r="15" customFormat="false" ht="48" hidden="false" customHeight="true" outlineLevel="0" collapsed="false">
      <c r="B15" s="19" t="s">
        <v>1066</v>
      </c>
      <c r="C15" s="19" t="s">
        <v>1054</v>
      </c>
      <c r="D15" s="19" t="s">
        <v>1067</v>
      </c>
      <c r="E15" s="19" t="s">
        <v>1038</v>
      </c>
      <c r="F15" s="19" t="s">
        <v>1068</v>
      </c>
      <c r="G15" s="24" t="s">
        <v>1035</v>
      </c>
    </row>
    <row r="16" customFormat="false" ht="48" hidden="false" customHeight="true" outlineLevel="0" collapsed="false">
      <c r="B16" s="19" t="s">
        <v>1069</v>
      </c>
      <c r="C16" s="19" t="s">
        <v>1054</v>
      </c>
      <c r="D16" s="19" t="s">
        <v>1070</v>
      </c>
      <c r="E16" s="19" t="s">
        <v>1071</v>
      </c>
      <c r="F16" s="19" t="s">
        <v>1072</v>
      </c>
      <c r="G16" s="24" t="s">
        <v>1035</v>
      </c>
    </row>
    <row r="17" customFormat="false" ht="48" hidden="false" customHeight="true" outlineLevel="0" collapsed="false">
      <c r="B17" s="19" t="s">
        <v>1073</v>
      </c>
      <c r="C17" s="19" t="s">
        <v>1054</v>
      </c>
      <c r="D17" s="19" t="s">
        <v>1074</v>
      </c>
      <c r="E17" s="19" t="s">
        <v>1038</v>
      </c>
      <c r="F17" s="19" t="s">
        <v>1075</v>
      </c>
      <c r="G17" s="24" t="s">
        <v>1035</v>
      </c>
    </row>
  </sheetData>
  <conditionalFormatting sqref="E6:E17">
    <cfRule type="cellIs" priority="2" operator="equal" aboveAverage="0" equalAverage="0" bottom="0" percent="0" rank="0" text="" dxfId="7">
      <formula>"High"</formula>
    </cfRule>
  </conditionalFormatting>
  <conditionalFormatting sqref="G6:G17">
    <cfRule type="cellIs" priority="3" operator="equal" aboveAverage="0" equalAverage="0" bottom="0" percent="0" rank="0" text="" dxfId="8">
      <formula>"Resolved"</formula>
    </cfRule>
    <cfRule type="cellIs" priority="4" operator="equal" aboveAverage="0" equalAverage="0" bottom="0" percent="0" rank="0" text="" dxfId="5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52"/>
    <col collapsed="false" customWidth="true" hidden="false" outlineLevel="0" max="9" min="8" style="0" width="11"/>
  </cols>
  <sheetData>
    <row r="2" customFormat="false" ht="18.55" hidden="false" customHeight="false" outlineLevel="0" collapsed="false">
      <c r="B2" s="25" t="s">
        <v>1076</v>
      </c>
    </row>
    <row r="3" customFormat="false" ht="15" hidden="false" customHeight="false" outlineLevel="0" collapsed="false">
      <c r="B3" s="26" t="s">
        <v>1077</v>
      </c>
    </row>
    <row r="5" customFormat="false" ht="27.75" hidden="false" customHeight="true" outlineLevel="0" collapsed="false">
      <c r="B5" s="18" t="s">
        <v>1025</v>
      </c>
      <c r="C5" s="18" t="s">
        <v>1026</v>
      </c>
      <c r="D5" s="18" t="s">
        <v>91</v>
      </c>
      <c r="E5" s="18" t="s">
        <v>1078</v>
      </c>
      <c r="F5" s="18" t="s">
        <v>1079</v>
      </c>
      <c r="G5" s="18" t="s">
        <v>1080</v>
      </c>
      <c r="H5" s="18" t="s">
        <v>106</v>
      </c>
      <c r="I5" s="18" t="s">
        <v>1081</v>
      </c>
    </row>
    <row r="6" customFormat="false" ht="45.75" hidden="false" customHeight="true" outlineLevel="0" collapsed="false">
      <c r="B6" s="19" t="s">
        <v>1082</v>
      </c>
      <c r="C6" s="19" t="s">
        <v>1083</v>
      </c>
      <c r="D6" s="19" t="s">
        <v>1084</v>
      </c>
      <c r="E6" s="19" t="s">
        <v>1085</v>
      </c>
      <c r="F6" s="24" t="s">
        <v>1033</v>
      </c>
      <c r="G6" s="19" t="s">
        <v>1086</v>
      </c>
      <c r="H6" s="19" t="s">
        <v>1044</v>
      </c>
      <c r="I6" s="19" t="s">
        <v>1087</v>
      </c>
    </row>
    <row r="7" customFormat="false" ht="45.75" hidden="false" customHeight="true" outlineLevel="0" collapsed="false">
      <c r="B7" s="19" t="s">
        <v>1088</v>
      </c>
      <c r="C7" s="19" t="s">
        <v>1083</v>
      </c>
      <c r="D7" s="19" t="s">
        <v>1089</v>
      </c>
      <c r="E7" s="19" t="s">
        <v>1090</v>
      </c>
      <c r="F7" s="24" t="s">
        <v>1033</v>
      </c>
      <c r="G7" s="19" t="s">
        <v>1091</v>
      </c>
      <c r="H7" s="19" t="s">
        <v>1035</v>
      </c>
      <c r="I7" s="19" t="s">
        <v>1087</v>
      </c>
    </row>
    <row r="8" customFormat="false" ht="45.75" hidden="false" customHeight="true" outlineLevel="0" collapsed="false">
      <c r="B8" s="19" t="s">
        <v>1092</v>
      </c>
      <c r="C8" s="19" t="s">
        <v>1083</v>
      </c>
      <c r="D8" s="19" t="s">
        <v>1093</v>
      </c>
      <c r="E8" s="19" t="s">
        <v>1094</v>
      </c>
      <c r="F8" s="24" t="s">
        <v>1033</v>
      </c>
      <c r="G8" s="19" t="s">
        <v>1095</v>
      </c>
      <c r="H8" s="19" t="s">
        <v>1035</v>
      </c>
      <c r="I8" s="19" t="s">
        <v>295</v>
      </c>
    </row>
    <row r="9" customFormat="false" ht="45.75" hidden="false" customHeight="true" outlineLevel="0" collapsed="false">
      <c r="B9" s="19" t="s">
        <v>1096</v>
      </c>
      <c r="C9" s="19" t="s">
        <v>1097</v>
      </c>
      <c r="D9" s="19" t="s">
        <v>1098</v>
      </c>
      <c r="E9" s="19" t="s">
        <v>1085</v>
      </c>
      <c r="F9" s="24" t="s">
        <v>1033</v>
      </c>
      <c r="G9" s="19" t="s">
        <v>1099</v>
      </c>
      <c r="H9" s="19" t="s">
        <v>1044</v>
      </c>
      <c r="I9" s="19" t="s">
        <v>110</v>
      </c>
    </row>
    <row r="10" customFormat="false" ht="45.75" hidden="false" customHeight="true" outlineLevel="0" collapsed="false">
      <c r="B10" s="19" t="s">
        <v>1100</v>
      </c>
      <c r="C10" s="19" t="s">
        <v>1097</v>
      </c>
      <c r="D10" s="19" t="s">
        <v>1101</v>
      </c>
      <c r="E10" s="19" t="s">
        <v>1102</v>
      </c>
      <c r="F10" s="24" t="s">
        <v>1033</v>
      </c>
      <c r="G10" s="19" t="s">
        <v>1103</v>
      </c>
      <c r="H10" s="19" t="s">
        <v>1044</v>
      </c>
      <c r="I10" s="19" t="s">
        <v>65</v>
      </c>
    </row>
    <row r="11" customFormat="false" ht="45.75" hidden="false" customHeight="true" outlineLevel="0" collapsed="false">
      <c r="B11" s="19" t="s">
        <v>1104</v>
      </c>
      <c r="C11" s="19" t="s">
        <v>1097</v>
      </c>
      <c r="D11" s="19" t="s">
        <v>1105</v>
      </c>
      <c r="E11" s="19" t="s">
        <v>1090</v>
      </c>
      <c r="F11" s="24" t="s">
        <v>1038</v>
      </c>
      <c r="G11" s="19" t="s">
        <v>1106</v>
      </c>
      <c r="H11" s="19" t="s">
        <v>1107</v>
      </c>
      <c r="I11" s="19" t="s">
        <v>1108</v>
      </c>
    </row>
    <row r="12" customFormat="false" ht="45.75" hidden="false" customHeight="true" outlineLevel="0" collapsed="false">
      <c r="B12" s="19" t="s">
        <v>1109</v>
      </c>
      <c r="C12" s="19" t="s">
        <v>1110</v>
      </c>
      <c r="D12" s="19" t="s">
        <v>1111</v>
      </c>
      <c r="E12" s="19" t="s">
        <v>1094</v>
      </c>
      <c r="F12" s="24" t="s">
        <v>1038</v>
      </c>
      <c r="G12" s="19" t="s">
        <v>1112</v>
      </c>
      <c r="H12" s="19" t="s">
        <v>1044</v>
      </c>
      <c r="I12" s="19" t="s">
        <v>51</v>
      </c>
    </row>
    <row r="13" customFormat="false" ht="45.75" hidden="false" customHeight="true" outlineLevel="0" collapsed="false">
      <c r="B13" s="19" t="s">
        <v>1113</v>
      </c>
      <c r="C13" s="19" t="s">
        <v>1114</v>
      </c>
      <c r="D13" s="19" t="s">
        <v>1115</v>
      </c>
      <c r="E13" s="19" t="s">
        <v>1116</v>
      </c>
      <c r="F13" s="24" t="s">
        <v>1033</v>
      </c>
      <c r="G13" s="19" t="s">
        <v>1117</v>
      </c>
      <c r="H13" s="19" t="s">
        <v>1044</v>
      </c>
      <c r="I13" s="19" t="s">
        <v>1118</v>
      </c>
    </row>
  </sheetData>
  <conditionalFormatting sqref="H6:H13">
    <cfRule type="cellIs" priority="2" operator="equal" aboveAverage="0" equalAverage="0" bottom="0" percent="0" rank="0" text="" dxfId="7">
      <formula>"Open"</formula>
    </cfRule>
    <cfRule type="cellIs" priority="3" operator="equal" aboveAverage="0" equalAverage="0" bottom="0" percent="0" rank="0" text="" dxfId="5">
      <formula>"Mitigated"</formula>
    </cfRule>
    <cfRule type="cellIs" priority="4" operator="equal" aboveAverage="0" equalAverage="0" bottom="0" percent="0" rank="0" text="" dxfId="8">
      <formula>"Resolved"</formula>
    </cfRule>
  </conditionalFormatting>
  <conditionalFormatting sqref="F6:F13">
    <cfRule type="cellIs" priority="5" operator="equal" aboveAverage="0" equalAverage="0" bottom="0" percent="0" rank="0" text="" dxfId="7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58"/>
  </cols>
  <sheetData>
    <row r="2" customFormat="false" ht="18.55" hidden="false" customHeight="false" outlineLevel="0" collapsed="false">
      <c r="B2" s="25" t="s">
        <v>1119</v>
      </c>
    </row>
    <row r="3" customFormat="false" ht="15" hidden="false" customHeight="false" outlineLevel="0" collapsed="false">
      <c r="B3" s="26" t="s">
        <v>1120</v>
      </c>
    </row>
    <row r="5" customFormat="false" ht="27.75" hidden="false" customHeight="true" outlineLevel="0" collapsed="false">
      <c r="B5" s="18" t="s">
        <v>1025</v>
      </c>
      <c r="C5" s="18" t="s">
        <v>1121</v>
      </c>
      <c r="D5" s="18" t="s">
        <v>1122</v>
      </c>
      <c r="E5" s="18" t="s">
        <v>1123</v>
      </c>
      <c r="F5" s="18" t="s">
        <v>1124</v>
      </c>
    </row>
    <row r="6" customFormat="false" ht="61.5" hidden="false" customHeight="true" outlineLevel="0" collapsed="false">
      <c r="B6" s="19" t="s">
        <v>1125</v>
      </c>
      <c r="C6" s="19" t="s">
        <v>1087</v>
      </c>
      <c r="D6" s="19" t="s">
        <v>1126</v>
      </c>
      <c r="E6" s="19" t="s">
        <v>1127</v>
      </c>
      <c r="F6" s="19" t="s">
        <v>1128</v>
      </c>
    </row>
    <row r="7" customFormat="false" ht="61.5" hidden="false" customHeight="true" outlineLevel="0" collapsed="false">
      <c r="B7" s="19" t="s">
        <v>1129</v>
      </c>
      <c r="C7" s="19" t="s">
        <v>1087</v>
      </c>
      <c r="D7" s="19" t="s">
        <v>1130</v>
      </c>
      <c r="E7" s="19" t="s">
        <v>1085</v>
      </c>
      <c r="F7" s="19" t="s">
        <v>1131</v>
      </c>
    </row>
    <row r="8" customFormat="false" ht="61.5" hidden="false" customHeight="true" outlineLevel="0" collapsed="false">
      <c r="B8" s="19" t="s">
        <v>1132</v>
      </c>
      <c r="C8" s="19" t="s">
        <v>295</v>
      </c>
      <c r="D8" s="19" t="s">
        <v>1133</v>
      </c>
      <c r="E8" s="19" t="s">
        <v>1127</v>
      </c>
      <c r="F8" s="19" t="s">
        <v>1134</v>
      </c>
    </row>
    <row r="9" customFormat="false" ht="61.5" hidden="false" customHeight="true" outlineLevel="0" collapsed="false">
      <c r="B9" s="19" t="s">
        <v>1135</v>
      </c>
      <c r="C9" s="19" t="s">
        <v>65</v>
      </c>
      <c r="D9" s="19" t="s">
        <v>1136</v>
      </c>
      <c r="E9" s="19" t="s">
        <v>1090</v>
      </c>
      <c r="F9" s="19" t="s">
        <v>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44"/>
  </cols>
  <sheetData>
    <row r="2" customFormat="false" ht="18.55" hidden="false" customHeight="false" outlineLevel="0" collapsed="false">
      <c r="B2" s="25" t="s">
        <v>1138</v>
      </c>
    </row>
    <row r="3" customFormat="false" ht="15" hidden="false" customHeight="false" outlineLevel="0" collapsed="false">
      <c r="B3" s="26" t="s">
        <v>1139</v>
      </c>
    </row>
    <row r="5" customFormat="false" ht="15" hidden="false" customHeight="false" outlineLevel="0" collapsed="false">
      <c r="B5" s="37" t="s">
        <v>1140</v>
      </c>
    </row>
    <row r="6" customFormat="false" ht="27.75" hidden="false" customHeight="true" outlineLevel="0" collapsed="false">
      <c r="B6" s="18" t="s">
        <v>1141</v>
      </c>
      <c r="C6" s="18" t="s">
        <v>1142</v>
      </c>
      <c r="D6" s="18" t="s">
        <v>1143</v>
      </c>
      <c r="E6" s="18" t="s">
        <v>1144</v>
      </c>
      <c r="F6" s="18" t="s">
        <v>1145</v>
      </c>
    </row>
    <row r="7" customFormat="false" ht="21.75" hidden="false" customHeight="true" outlineLevel="0" collapsed="false">
      <c r="B7" s="19" t="s">
        <v>1146</v>
      </c>
      <c r="C7" s="19" t="s">
        <v>1147</v>
      </c>
      <c r="D7" s="19" t="s">
        <v>1148</v>
      </c>
      <c r="E7" s="19" t="s">
        <v>1149</v>
      </c>
      <c r="F7" s="19" t="s">
        <v>1150</v>
      </c>
    </row>
    <row r="8" customFormat="false" ht="21.75" hidden="false" customHeight="true" outlineLevel="0" collapsed="false">
      <c r="B8" s="19" t="s">
        <v>1151</v>
      </c>
      <c r="C8" s="19" t="s">
        <v>1152</v>
      </c>
      <c r="D8" s="19" t="s">
        <v>1153</v>
      </c>
      <c r="E8" s="19" t="s">
        <v>1154</v>
      </c>
      <c r="F8" s="19" t="s">
        <v>1155</v>
      </c>
    </row>
    <row r="9" customFormat="false" ht="21.75" hidden="false" customHeight="true" outlineLevel="0" collapsed="false">
      <c r="B9" s="19" t="s">
        <v>1156</v>
      </c>
      <c r="C9" s="19" t="s">
        <v>1157</v>
      </c>
      <c r="D9" s="19" t="s">
        <v>1158</v>
      </c>
      <c r="E9" s="19" t="s">
        <v>1159</v>
      </c>
      <c r="F9" s="19" t="s">
        <v>1160</v>
      </c>
    </row>
    <row r="10" customFormat="false" ht="21.75" hidden="false" customHeight="true" outlineLevel="0" collapsed="false">
      <c r="B10" s="19" t="s">
        <v>1161</v>
      </c>
      <c r="C10" s="19" t="s">
        <v>1162</v>
      </c>
      <c r="D10" s="19" t="s">
        <v>1163</v>
      </c>
      <c r="E10" s="19" t="s">
        <v>1164</v>
      </c>
      <c r="F10" s="19" t="s">
        <v>1165</v>
      </c>
    </row>
    <row r="12" customFormat="false" ht="15" hidden="false" customHeight="false" outlineLevel="0" collapsed="false">
      <c r="B12" s="37" t="s">
        <v>1166</v>
      </c>
    </row>
    <row r="13" customFormat="false" ht="27.75" hidden="false" customHeight="true" outlineLevel="0" collapsed="false">
      <c r="B13" s="18" t="s">
        <v>1167</v>
      </c>
      <c r="C13" s="18" t="s">
        <v>174</v>
      </c>
      <c r="D13" s="18" t="s">
        <v>169</v>
      </c>
      <c r="E13" s="18" t="s">
        <v>200</v>
      </c>
    </row>
    <row r="14" customFormat="false" ht="19.5" hidden="false" customHeight="true" outlineLevel="0" collapsed="false">
      <c r="B14" s="19" t="s">
        <v>1168</v>
      </c>
      <c r="C14" s="19" t="s">
        <v>1169</v>
      </c>
      <c r="D14" s="19" t="s">
        <v>1170</v>
      </c>
      <c r="E14" s="19" t="s">
        <v>1171</v>
      </c>
    </row>
    <row r="15" customFormat="false" ht="19.5" hidden="false" customHeight="true" outlineLevel="0" collapsed="false">
      <c r="B15" s="19" t="s">
        <v>1172</v>
      </c>
      <c r="C15" s="19" t="s">
        <v>1173</v>
      </c>
      <c r="D15" s="19" t="s">
        <v>1174</v>
      </c>
      <c r="E15" s="19" t="s">
        <v>1175</v>
      </c>
    </row>
    <row r="16" customFormat="false" ht="19.5" hidden="false" customHeight="true" outlineLevel="0" collapsed="false">
      <c r="B16" s="19" t="s">
        <v>1176</v>
      </c>
      <c r="C16" s="19" t="s">
        <v>1177</v>
      </c>
      <c r="D16" s="19" t="s">
        <v>1178</v>
      </c>
      <c r="E16" s="19" t="s">
        <v>1179</v>
      </c>
    </row>
    <row r="17" customFormat="false" ht="19.5" hidden="false" customHeight="true" outlineLevel="0" collapsed="false">
      <c r="B17" s="19" t="s">
        <v>1180</v>
      </c>
      <c r="C17" s="19" t="s">
        <v>1181</v>
      </c>
      <c r="D17" s="19" t="s">
        <v>1182</v>
      </c>
      <c r="E17" s="19" t="s">
        <v>1183</v>
      </c>
    </row>
    <row r="19" customFormat="false" ht="15" hidden="false" customHeight="false" outlineLevel="0" collapsed="false">
      <c r="B19" s="37" t="s">
        <v>1184</v>
      </c>
    </row>
    <row r="20" customFormat="false" ht="27.75" hidden="false" customHeight="true" outlineLevel="0" collapsed="false">
      <c r="B20" s="18" t="s">
        <v>1185</v>
      </c>
      <c r="C20" s="18" t="s">
        <v>1186</v>
      </c>
      <c r="D20" s="18" t="s">
        <v>1187</v>
      </c>
    </row>
    <row r="21" customFormat="false" ht="33.75" hidden="false" customHeight="true" outlineLevel="0" collapsed="false">
      <c r="B21" s="19" t="s">
        <v>1188</v>
      </c>
      <c r="C21" s="19" t="s">
        <v>1189</v>
      </c>
      <c r="D21" s="19" t="s">
        <v>1190</v>
      </c>
    </row>
    <row r="22" customFormat="false" ht="33.75" hidden="false" customHeight="true" outlineLevel="0" collapsed="false">
      <c r="B22" s="19" t="s">
        <v>1191</v>
      </c>
      <c r="C22" s="19" t="s">
        <v>1192</v>
      </c>
      <c r="D22" s="19" t="s">
        <v>1190</v>
      </c>
    </row>
    <row r="23" customFormat="false" ht="33.75" hidden="false" customHeight="true" outlineLevel="0" collapsed="false">
      <c r="B23" s="19" t="s">
        <v>1193</v>
      </c>
      <c r="C23" s="19" t="s">
        <v>1194</v>
      </c>
      <c r="D23" s="19" t="s">
        <v>1195</v>
      </c>
    </row>
    <row r="24" customFormat="false" ht="33.75" hidden="false" customHeight="true" outlineLevel="0" collapsed="false">
      <c r="B24" s="19" t="s">
        <v>1196</v>
      </c>
      <c r="C24" s="19" t="s">
        <v>1197</v>
      </c>
      <c r="D24" s="19" t="s">
        <v>1190</v>
      </c>
    </row>
    <row r="25" customFormat="false" ht="33.75" hidden="false" customHeight="true" outlineLevel="0" collapsed="false">
      <c r="B25" s="19" t="s">
        <v>1198</v>
      </c>
      <c r="C25" s="19" t="s">
        <v>1199</v>
      </c>
      <c r="D25" s="19" t="s">
        <v>1162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2"/>
  </cols>
  <sheetData>
    <row r="2" customFormat="false" ht="18.55" hidden="false" customHeight="false" outlineLevel="0" collapsed="false">
      <c r="B2" s="25" t="s">
        <v>1200</v>
      </c>
    </row>
    <row r="3" customFormat="false" ht="15" hidden="false" customHeight="false" outlineLevel="0" collapsed="false">
      <c r="B3" s="26" t="s">
        <v>1201</v>
      </c>
    </row>
    <row r="5" customFormat="false" ht="15" hidden="false" customHeight="false" outlineLevel="0" collapsed="false">
      <c r="B5" s="33" t="s">
        <v>1202</v>
      </c>
      <c r="C5" s="38" t="s">
        <v>1203</v>
      </c>
    </row>
    <row r="6" customFormat="false" ht="15" hidden="false" customHeight="false" outlineLevel="0" collapsed="false">
      <c r="B6" s="33" t="s">
        <v>1204</v>
      </c>
      <c r="C6" s="38" t="s">
        <v>1203</v>
      </c>
    </row>
    <row r="7" customFormat="false" ht="15" hidden="false" customHeight="false" outlineLevel="0" collapsed="false">
      <c r="B7" s="33" t="s">
        <v>1205</v>
      </c>
      <c r="C7" s="38" t="s">
        <v>1203</v>
      </c>
    </row>
    <row r="8" customFormat="false" ht="15" hidden="false" customHeight="false" outlineLevel="0" collapsed="false">
      <c r="B8" s="33" t="s">
        <v>1054</v>
      </c>
      <c r="C8" s="39" t="s">
        <v>1206</v>
      </c>
    </row>
    <row r="9" customFormat="false" ht="15" hidden="false" customHeight="false" outlineLevel="0" collapsed="false">
      <c r="B9" s="33" t="s">
        <v>1207</v>
      </c>
      <c r="C9" s="38" t="s">
        <v>1203</v>
      </c>
    </row>
    <row r="11" customFormat="false" ht="15" hidden="false" customHeight="false" outlineLevel="0" collapsed="false">
      <c r="B11" s="37" t="s">
        <v>1208</v>
      </c>
    </row>
    <row r="12" customFormat="false" ht="30" hidden="false" customHeight="true" outlineLevel="0" collapsed="false">
      <c r="B12" s="40" t="s">
        <v>1209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</row>
    <row r="13" customFormat="false" ht="30" hidden="false" customHeight="true" outlineLevel="0" collapsed="false">
      <c r="B13" s="40" t="s">
        <v>1210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customFormat="false" ht="30" hidden="false" customHeight="true" outlineLevel="0" collapsed="false">
      <c r="B14" s="40" t="s">
        <v>1211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</row>
    <row r="16" customFormat="false" ht="15" hidden="false" customHeight="false" outlineLevel="0" collapsed="false">
      <c r="B16" s="37" t="s">
        <v>1212</v>
      </c>
    </row>
    <row r="17" customFormat="false" ht="30" hidden="false" customHeight="true" outlineLevel="0" collapsed="false">
      <c r="B17" s="40" t="s">
        <v>1213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</row>
    <row r="18" customFormat="false" ht="30" hidden="false" customHeight="true" outlineLevel="0" collapsed="false">
      <c r="B18" s="40" t="s">
        <v>1214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</row>
    <row r="19" customFormat="false" ht="30" hidden="false" customHeight="true" outlineLevel="0" collapsed="false">
      <c r="B19" s="40" t="s">
        <v>1215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</row>
    <row r="21" customFormat="false" ht="15" hidden="false" customHeight="false" outlineLevel="0" collapsed="false">
      <c r="B21" s="37" t="s">
        <v>257</v>
      </c>
    </row>
    <row r="22" customFormat="false" ht="30" hidden="false" customHeight="true" outlineLevel="0" collapsed="false">
      <c r="B22" s="40" t="s">
        <v>1216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</row>
    <row r="23" customFormat="false" ht="30" hidden="false" customHeight="true" outlineLevel="0" collapsed="false">
      <c r="B23" s="40" t="s">
        <v>1217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</row>
    <row r="25" customFormat="false" ht="15" hidden="false" customHeight="false" outlineLevel="0" collapsed="false">
      <c r="B25" s="37" t="s">
        <v>1054</v>
      </c>
    </row>
    <row r="26" customFormat="false" ht="30" hidden="false" customHeight="true" outlineLevel="0" collapsed="false">
      <c r="B26" s="40" t="s">
        <v>1218</v>
      </c>
      <c r="C26" s="40"/>
      <c r="D26" s="40"/>
      <c r="E26" s="40"/>
      <c r="F26" s="40"/>
      <c r="G26" s="40"/>
      <c r="H26" s="40"/>
      <c r="I26" s="40"/>
      <c r="J26" s="40"/>
      <c r="K26" s="40"/>
      <c r="L26" s="40"/>
    </row>
    <row r="27" customFormat="false" ht="30" hidden="false" customHeight="true" outlineLevel="0" collapsed="false">
      <c r="B27" s="40" t="s">
        <v>1219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</row>
    <row r="29" customFormat="false" ht="15" hidden="false" customHeight="false" outlineLevel="0" collapsed="false">
      <c r="B29" s="37" t="s">
        <v>1220</v>
      </c>
    </row>
    <row r="30" customFormat="false" ht="30" hidden="false" customHeight="true" outlineLevel="0" collapsed="false">
      <c r="B30" s="40" t="s">
        <v>1221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</row>
    <row r="31" customFormat="false" ht="30" hidden="false" customHeight="true" outlineLevel="0" collapsed="false">
      <c r="B31" s="40" t="s">
        <v>1222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</row>
    <row r="32" customFormat="false" ht="30" hidden="false" customHeight="true" outlineLevel="0" collapsed="false">
      <c r="B32" s="40" t="s">
        <v>1223</v>
      </c>
      <c r="C32" s="40"/>
      <c r="D32" s="40"/>
      <c r="E32" s="40"/>
      <c r="F32" s="40"/>
      <c r="G32" s="40"/>
      <c r="H32" s="40"/>
      <c r="I32" s="40"/>
      <c r="J32" s="40"/>
      <c r="K32" s="40"/>
      <c r="L32" s="40"/>
    </row>
  </sheetData>
  <mergeCells count="13">
    <mergeCell ref="B12:L12"/>
    <mergeCell ref="B13:L13"/>
    <mergeCell ref="B14:L14"/>
    <mergeCell ref="B17:L17"/>
    <mergeCell ref="B18:L18"/>
    <mergeCell ref="B19:L19"/>
    <mergeCell ref="B22:L22"/>
    <mergeCell ref="B23:L23"/>
    <mergeCell ref="B26:L26"/>
    <mergeCell ref="B27:L27"/>
    <mergeCell ref="B30:L30"/>
    <mergeCell ref="B31:L31"/>
    <mergeCell ref="B32:L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2026-07-21T19:00:40Z</dcterms:created>
  <dc:creator>openpyxl</dc:creator>
  <dc:description/>
  <dc:language>en-US</dc:language>
  <cp:lastModifiedBy/>
  <dcterms:modified xsi:type="dcterms:W3CDTF">2026-07-21T19:03:56Z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